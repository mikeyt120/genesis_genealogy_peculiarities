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tionministries-my.sharepoint.com/personal/m_thompson_creation_com/Documents/Documents/05_journal/05_sources/"/>
    </mc:Choice>
  </mc:AlternateContent>
  <xr:revisionPtr revIDLastSave="3158" documentId="13_ncr:1_{BA15DD6D-37BA-4451-8861-38FC97BEB5EB}" xr6:coauthVersionLast="47" xr6:coauthVersionMax="47" xr10:uidLastSave="{EC80AF5C-3810-4F39-9AF5-384D9A676C1C}"/>
  <bookViews>
    <workbookView xWindow="14295" yWindow="0" windowWidth="14610" windowHeight="15585" xr2:uid="{42350662-CF92-4B8B-946D-5A5C96876516}"/>
  </bookViews>
  <sheets>
    <sheet name="Fig_1A_and_1D" sheetId="31" r:id="rId1"/>
    <sheet name="Fig_1B_decomp" sheetId="32" r:id="rId2"/>
    <sheet name="Fig_1C_decomp" sheetId="33" r:id="rId3"/>
    <sheet name="Fig_2A_decomp" sheetId="35" r:id="rId4"/>
    <sheet name="Fig_2B_decomp" sheetId="36" r:id="rId5"/>
    <sheet name="Fig_2C_decomp" sheetId="34" r:id="rId6"/>
    <sheet name="judah israel kings" sheetId="13" r:id="rId7"/>
    <sheet name="SUMER" sheetId="10" r:id="rId8"/>
    <sheet name="Exponential Decay Curve" sheetId="16" r:id="rId9"/>
    <sheet name="12600 years" sheetId="2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3" l="1"/>
  <c r="AI32" i="31"/>
  <c r="AI31" i="31"/>
  <c r="AI28" i="31"/>
  <c r="AI29" i="31"/>
  <c r="AI30" i="31"/>
  <c r="AI27" i="31"/>
  <c r="AH28" i="31"/>
  <c r="AH29" i="31"/>
  <c r="AH30" i="31"/>
  <c r="AH27" i="31"/>
  <c r="AG28" i="31"/>
  <c r="AG29" i="31"/>
  <c r="AG30" i="31"/>
  <c r="AG27" i="31"/>
  <c r="AF28" i="31"/>
  <c r="AF29" i="31"/>
  <c r="AF30" i="31"/>
  <c r="AF27" i="31"/>
  <c r="W37" i="31"/>
  <c r="C58" i="34"/>
  <c r="N27" i="31"/>
  <c r="J27" i="31"/>
  <c r="V27" i="31"/>
  <c r="D38" i="10"/>
  <c r="V10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5" i="13"/>
  <c r="O44" i="34"/>
  <c r="M44" i="34"/>
  <c r="K44" i="34"/>
  <c r="J44" i="34"/>
  <c r="I44" i="34"/>
  <c r="G44" i="34"/>
  <c r="N43" i="34"/>
  <c r="M43" i="34"/>
  <c r="K43" i="34"/>
  <c r="J43" i="34"/>
  <c r="H43" i="34"/>
  <c r="G43" i="34"/>
  <c r="N42" i="34"/>
  <c r="M42" i="34"/>
  <c r="K42" i="34"/>
  <c r="J42" i="34"/>
  <c r="H42" i="34"/>
  <c r="G42" i="34"/>
  <c r="N41" i="34"/>
  <c r="M41" i="34"/>
  <c r="K41" i="34"/>
  <c r="J41" i="34"/>
  <c r="H41" i="34"/>
  <c r="G41" i="34"/>
  <c r="N40" i="34"/>
  <c r="M40" i="34"/>
  <c r="K40" i="34"/>
  <c r="J40" i="34"/>
  <c r="H40" i="34"/>
  <c r="G40" i="34"/>
  <c r="N39" i="34"/>
  <c r="M39" i="34"/>
  <c r="K39" i="34"/>
  <c r="J39" i="34"/>
  <c r="H39" i="34"/>
  <c r="G39" i="34"/>
  <c r="N38" i="34"/>
  <c r="M38" i="34"/>
  <c r="K38" i="34"/>
  <c r="J38" i="34"/>
  <c r="H38" i="34"/>
  <c r="G38" i="34"/>
  <c r="N37" i="34"/>
  <c r="M37" i="34"/>
  <c r="K37" i="34"/>
  <c r="J37" i="34"/>
  <c r="H37" i="34"/>
  <c r="G37" i="34"/>
  <c r="N36" i="34"/>
  <c r="M36" i="34"/>
  <c r="K36" i="34"/>
  <c r="J36" i="34"/>
  <c r="H36" i="34"/>
  <c r="G36" i="34"/>
  <c r="O35" i="34"/>
  <c r="M35" i="34"/>
  <c r="L35" i="34"/>
  <c r="J35" i="34"/>
  <c r="I35" i="34"/>
  <c r="G35" i="34"/>
  <c r="O34" i="34"/>
  <c r="N34" i="34"/>
  <c r="M34" i="34"/>
  <c r="L34" i="34"/>
  <c r="K34" i="34"/>
  <c r="J34" i="34"/>
  <c r="I34" i="34"/>
  <c r="H34" i="34"/>
  <c r="G34" i="34"/>
  <c r="O33" i="34"/>
  <c r="N33" i="34"/>
  <c r="M33" i="34"/>
  <c r="L33" i="34"/>
  <c r="K33" i="34"/>
  <c r="J33" i="34"/>
  <c r="I33" i="34"/>
  <c r="H33" i="34"/>
  <c r="G33" i="34"/>
  <c r="O32" i="34"/>
  <c r="N32" i="34"/>
  <c r="M32" i="34"/>
  <c r="L32" i="34"/>
  <c r="K32" i="34"/>
  <c r="J32" i="34"/>
  <c r="I32" i="34"/>
  <c r="H32" i="34"/>
  <c r="G32" i="34"/>
  <c r="O31" i="34"/>
  <c r="N31" i="34"/>
  <c r="M31" i="34"/>
  <c r="L31" i="34"/>
  <c r="K31" i="34"/>
  <c r="J31" i="34"/>
  <c r="I31" i="34"/>
  <c r="H31" i="34"/>
  <c r="G31" i="34"/>
  <c r="O30" i="34"/>
  <c r="N30" i="34"/>
  <c r="M30" i="34"/>
  <c r="L30" i="34"/>
  <c r="K30" i="34"/>
  <c r="J30" i="34"/>
  <c r="I30" i="34"/>
  <c r="H30" i="34"/>
  <c r="G30" i="34"/>
  <c r="O29" i="34"/>
  <c r="N29" i="34"/>
  <c r="M29" i="34"/>
  <c r="L29" i="34"/>
  <c r="K29" i="34"/>
  <c r="J29" i="34"/>
  <c r="I29" i="34"/>
  <c r="H29" i="34"/>
  <c r="G29" i="34"/>
  <c r="O28" i="34"/>
  <c r="N28" i="34"/>
  <c r="M28" i="34"/>
  <c r="L28" i="34"/>
  <c r="K28" i="34"/>
  <c r="J28" i="34"/>
  <c r="I28" i="34"/>
  <c r="H28" i="34"/>
  <c r="G28" i="34"/>
  <c r="O27" i="34"/>
  <c r="N27" i="34"/>
  <c r="M27" i="34"/>
  <c r="L27" i="34"/>
  <c r="K27" i="34"/>
  <c r="J27" i="34"/>
  <c r="I27" i="34"/>
  <c r="H27" i="34"/>
  <c r="G27" i="34"/>
  <c r="O26" i="34"/>
  <c r="N26" i="34"/>
  <c r="M26" i="34"/>
  <c r="L26" i="34"/>
  <c r="K26" i="34"/>
  <c r="J26" i="34"/>
  <c r="I26" i="34"/>
  <c r="H26" i="34"/>
  <c r="G26" i="34"/>
  <c r="G5" i="34"/>
  <c r="H5" i="34"/>
  <c r="I5" i="34"/>
  <c r="J5" i="34"/>
  <c r="J52" i="34" s="1"/>
  <c r="K5" i="34"/>
  <c r="K48" i="34" s="1"/>
  <c r="L5" i="34"/>
  <c r="M5" i="34"/>
  <c r="M48" i="34" s="1"/>
  <c r="N5" i="34"/>
  <c r="N51" i="34" s="1"/>
  <c r="O5" i="34"/>
  <c r="O51" i="34" s="1"/>
  <c r="G6" i="34"/>
  <c r="G50" i="34" s="1"/>
  <c r="H6" i="34"/>
  <c r="I6" i="34"/>
  <c r="I53" i="34" s="1"/>
  <c r="J6" i="34"/>
  <c r="J54" i="34" s="1"/>
  <c r="K6" i="34"/>
  <c r="L6" i="34"/>
  <c r="L55" i="34" s="1"/>
  <c r="M6" i="34"/>
  <c r="M49" i="34" s="1"/>
  <c r="N6" i="34"/>
  <c r="O6" i="34"/>
  <c r="G7" i="34"/>
  <c r="H7" i="34"/>
  <c r="I7" i="34"/>
  <c r="J7" i="34"/>
  <c r="K7" i="34"/>
  <c r="L7" i="34"/>
  <c r="M7" i="34"/>
  <c r="N7" i="34"/>
  <c r="N54" i="34" s="1"/>
  <c r="O7" i="34"/>
  <c r="G8" i="34"/>
  <c r="H8" i="34"/>
  <c r="I8" i="34"/>
  <c r="I54" i="34" s="1"/>
  <c r="J8" i="34"/>
  <c r="J49" i="34" s="1"/>
  <c r="K8" i="34"/>
  <c r="L8" i="34"/>
  <c r="M8" i="34"/>
  <c r="N8" i="34"/>
  <c r="O8" i="34"/>
  <c r="G9" i="34"/>
  <c r="H9" i="34"/>
  <c r="I9" i="34"/>
  <c r="J9" i="34"/>
  <c r="K9" i="34"/>
  <c r="L9" i="34"/>
  <c r="M9" i="34"/>
  <c r="N9" i="34"/>
  <c r="O9" i="34"/>
  <c r="G10" i="34"/>
  <c r="H10" i="34"/>
  <c r="I10" i="34"/>
  <c r="J10" i="34"/>
  <c r="K10" i="34"/>
  <c r="L10" i="34"/>
  <c r="M10" i="34"/>
  <c r="N10" i="34"/>
  <c r="O10" i="34"/>
  <c r="G11" i="34"/>
  <c r="H11" i="34"/>
  <c r="I11" i="34"/>
  <c r="J11" i="34"/>
  <c r="K11" i="34"/>
  <c r="L11" i="34"/>
  <c r="M11" i="34"/>
  <c r="N11" i="34"/>
  <c r="O11" i="34"/>
  <c r="G12" i="34"/>
  <c r="H12" i="34"/>
  <c r="I12" i="34"/>
  <c r="J12" i="34"/>
  <c r="K12" i="34"/>
  <c r="L12" i="34"/>
  <c r="M12" i="34"/>
  <c r="N12" i="34"/>
  <c r="O12" i="34"/>
  <c r="G13" i="34"/>
  <c r="H13" i="34"/>
  <c r="I13" i="34"/>
  <c r="J13" i="34"/>
  <c r="K13" i="34"/>
  <c r="L13" i="34"/>
  <c r="M13" i="34"/>
  <c r="N13" i="34"/>
  <c r="N57" i="34" s="1"/>
  <c r="O13" i="34"/>
  <c r="G14" i="34"/>
  <c r="H14" i="34"/>
  <c r="I14" i="34"/>
  <c r="J14" i="34"/>
  <c r="K14" i="34"/>
  <c r="L14" i="34"/>
  <c r="M14" i="34"/>
  <c r="N14" i="34"/>
  <c r="O14" i="34"/>
  <c r="G15" i="34"/>
  <c r="H15" i="34"/>
  <c r="I15" i="34"/>
  <c r="J15" i="34"/>
  <c r="K15" i="34"/>
  <c r="L15" i="34"/>
  <c r="M15" i="34"/>
  <c r="N15" i="34"/>
  <c r="O15" i="34"/>
  <c r="G16" i="34"/>
  <c r="H16" i="34"/>
  <c r="I16" i="34"/>
  <c r="J16" i="34"/>
  <c r="K16" i="34"/>
  <c r="L16" i="34"/>
  <c r="M16" i="34"/>
  <c r="N16" i="34"/>
  <c r="O16" i="34"/>
  <c r="G17" i="34"/>
  <c r="H17" i="34"/>
  <c r="I17" i="34"/>
  <c r="J17" i="34"/>
  <c r="J51" i="34" s="1"/>
  <c r="K17" i="34"/>
  <c r="L17" i="34"/>
  <c r="M17" i="34"/>
  <c r="N17" i="34"/>
  <c r="O17" i="34"/>
  <c r="G18" i="34"/>
  <c r="H18" i="34"/>
  <c r="I18" i="34"/>
  <c r="J18" i="34"/>
  <c r="K18" i="34"/>
  <c r="L18" i="34"/>
  <c r="M18" i="34"/>
  <c r="N18" i="34"/>
  <c r="O18" i="34"/>
  <c r="G19" i="34"/>
  <c r="H19" i="34"/>
  <c r="I19" i="34"/>
  <c r="J19" i="34"/>
  <c r="K19" i="34"/>
  <c r="L19" i="34"/>
  <c r="M19" i="34"/>
  <c r="N19" i="34"/>
  <c r="O19" i="34"/>
  <c r="G20" i="34"/>
  <c r="H20" i="34"/>
  <c r="I20" i="34"/>
  <c r="J20" i="34"/>
  <c r="K20" i="34"/>
  <c r="L20" i="34"/>
  <c r="M20" i="34"/>
  <c r="N20" i="34"/>
  <c r="O20" i="34"/>
  <c r="O52" i="34" s="1"/>
  <c r="G21" i="34"/>
  <c r="H21" i="34"/>
  <c r="I21" i="34"/>
  <c r="J21" i="34"/>
  <c r="K21" i="34"/>
  <c r="L21" i="34"/>
  <c r="M21" i="34"/>
  <c r="N21" i="34"/>
  <c r="O21" i="34"/>
  <c r="G22" i="34"/>
  <c r="H22" i="34"/>
  <c r="I22" i="34"/>
  <c r="J22" i="34"/>
  <c r="K22" i="34"/>
  <c r="L22" i="34"/>
  <c r="M22" i="34"/>
  <c r="N22" i="34"/>
  <c r="O22" i="34"/>
  <c r="O4" i="34"/>
  <c r="N4" i="34"/>
  <c r="M4" i="34"/>
  <c r="L4" i="34"/>
  <c r="K4" i="34"/>
  <c r="J4" i="34"/>
  <c r="I4" i="34"/>
  <c r="H4" i="34"/>
  <c r="G4" i="34"/>
  <c r="K28" i="36"/>
  <c r="G16" i="36"/>
  <c r="H16" i="36"/>
  <c r="J16" i="36"/>
  <c r="K16" i="36"/>
  <c r="M16" i="36"/>
  <c r="N16" i="36"/>
  <c r="G17" i="36"/>
  <c r="H17" i="36"/>
  <c r="J17" i="36"/>
  <c r="K17" i="36"/>
  <c r="M17" i="36"/>
  <c r="N17" i="36"/>
  <c r="G18" i="36"/>
  <c r="H18" i="36"/>
  <c r="J18" i="36"/>
  <c r="K18" i="36"/>
  <c r="M18" i="36"/>
  <c r="N18" i="36"/>
  <c r="G19" i="36"/>
  <c r="H19" i="36"/>
  <c r="J19" i="36"/>
  <c r="K19" i="36"/>
  <c r="M19" i="36"/>
  <c r="N19" i="36"/>
  <c r="G20" i="36"/>
  <c r="H20" i="36"/>
  <c r="J20" i="36"/>
  <c r="K20" i="36"/>
  <c r="M20" i="36"/>
  <c r="N20" i="36"/>
  <c r="G21" i="36"/>
  <c r="H21" i="36"/>
  <c r="J21" i="36"/>
  <c r="K21" i="36"/>
  <c r="M21" i="36"/>
  <c r="N21" i="36"/>
  <c r="G22" i="36"/>
  <c r="H22" i="36"/>
  <c r="J22" i="36"/>
  <c r="K22" i="36"/>
  <c r="M22" i="36"/>
  <c r="N22" i="36"/>
  <c r="G23" i="36"/>
  <c r="I23" i="36"/>
  <c r="J23" i="36"/>
  <c r="L23" i="36"/>
  <c r="M23" i="36"/>
  <c r="O23" i="36"/>
  <c r="N15" i="36"/>
  <c r="M15" i="36"/>
  <c r="K15" i="36"/>
  <c r="J15" i="36"/>
  <c r="H15" i="36"/>
  <c r="G15" i="36"/>
  <c r="G5" i="36"/>
  <c r="H5" i="36"/>
  <c r="I5" i="36"/>
  <c r="J5" i="36"/>
  <c r="K5" i="36"/>
  <c r="L5" i="36"/>
  <c r="L35" i="36" s="1"/>
  <c r="M5" i="36"/>
  <c r="M28" i="36" s="1"/>
  <c r="N5" i="36"/>
  <c r="N32" i="36" s="1"/>
  <c r="O5" i="36"/>
  <c r="O30" i="36" s="1"/>
  <c r="G6" i="36"/>
  <c r="H6" i="36"/>
  <c r="I6" i="36"/>
  <c r="I33" i="36" s="1"/>
  <c r="J6" i="36"/>
  <c r="J27" i="36" s="1"/>
  <c r="K6" i="36"/>
  <c r="L6" i="36"/>
  <c r="M6" i="36"/>
  <c r="M34" i="36" s="1"/>
  <c r="N6" i="36"/>
  <c r="O6" i="36"/>
  <c r="G7" i="36"/>
  <c r="H7" i="36"/>
  <c r="I7" i="36"/>
  <c r="J7" i="36"/>
  <c r="K7" i="36"/>
  <c r="L7" i="36"/>
  <c r="M7" i="36"/>
  <c r="N7" i="36"/>
  <c r="O7" i="36"/>
  <c r="G8" i="36"/>
  <c r="H8" i="36"/>
  <c r="I8" i="36"/>
  <c r="J8" i="36"/>
  <c r="K8" i="36"/>
  <c r="K34" i="36" s="1"/>
  <c r="L8" i="36"/>
  <c r="M8" i="36"/>
  <c r="N8" i="36"/>
  <c r="O8" i="36"/>
  <c r="G9" i="36"/>
  <c r="H9" i="36"/>
  <c r="I9" i="36"/>
  <c r="J9" i="36"/>
  <c r="K9" i="36"/>
  <c r="L9" i="36"/>
  <c r="M9" i="36"/>
  <c r="N9" i="36"/>
  <c r="O9" i="36"/>
  <c r="G10" i="36"/>
  <c r="H10" i="36"/>
  <c r="I10" i="36"/>
  <c r="J10" i="36"/>
  <c r="K10" i="36"/>
  <c r="L10" i="36"/>
  <c r="M10" i="36"/>
  <c r="N10" i="36"/>
  <c r="O10" i="36"/>
  <c r="G11" i="36"/>
  <c r="H11" i="36"/>
  <c r="I11" i="36"/>
  <c r="J11" i="36"/>
  <c r="K11" i="36"/>
  <c r="L11" i="36"/>
  <c r="M11" i="36"/>
  <c r="N11" i="36"/>
  <c r="O11" i="36"/>
  <c r="G12" i="36"/>
  <c r="H12" i="36"/>
  <c r="I12" i="36"/>
  <c r="J12" i="36"/>
  <c r="K12" i="36"/>
  <c r="L12" i="36"/>
  <c r="M12" i="36"/>
  <c r="N12" i="36"/>
  <c r="O12" i="36"/>
  <c r="O4" i="36"/>
  <c r="N4" i="36"/>
  <c r="M4" i="36"/>
  <c r="L4" i="36"/>
  <c r="K4" i="36"/>
  <c r="J4" i="36"/>
  <c r="I4" i="36"/>
  <c r="H4" i="36"/>
  <c r="H33" i="36" s="1"/>
  <c r="G4" i="36"/>
  <c r="O25" i="35"/>
  <c r="M25" i="35"/>
  <c r="L25" i="35"/>
  <c r="J25" i="35"/>
  <c r="I25" i="35"/>
  <c r="G25" i="35"/>
  <c r="G17" i="35"/>
  <c r="H17" i="35"/>
  <c r="I17" i="35"/>
  <c r="J17" i="35"/>
  <c r="K17" i="35"/>
  <c r="L17" i="35"/>
  <c r="M17" i="35"/>
  <c r="N17" i="35"/>
  <c r="O17" i="35"/>
  <c r="G18" i="35"/>
  <c r="H18" i="35"/>
  <c r="I18" i="35"/>
  <c r="J18" i="35"/>
  <c r="K18" i="35"/>
  <c r="L18" i="35"/>
  <c r="M18" i="35"/>
  <c r="N18" i="35"/>
  <c r="O18" i="35"/>
  <c r="G19" i="35"/>
  <c r="H19" i="35"/>
  <c r="I19" i="35"/>
  <c r="J19" i="35"/>
  <c r="K19" i="35"/>
  <c r="L19" i="35"/>
  <c r="M19" i="35"/>
  <c r="N19" i="35"/>
  <c r="O19" i="35"/>
  <c r="G20" i="35"/>
  <c r="H20" i="35"/>
  <c r="I20" i="35"/>
  <c r="J20" i="35"/>
  <c r="K20" i="35"/>
  <c r="L20" i="35"/>
  <c r="M20" i="35"/>
  <c r="N20" i="35"/>
  <c r="O20" i="35"/>
  <c r="G21" i="35"/>
  <c r="H21" i="35"/>
  <c r="I21" i="35"/>
  <c r="J21" i="35"/>
  <c r="K21" i="35"/>
  <c r="L21" i="35"/>
  <c r="M21" i="35"/>
  <c r="N21" i="35"/>
  <c r="O21" i="35"/>
  <c r="G22" i="35"/>
  <c r="H22" i="35"/>
  <c r="I22" i="35"/>
  <c r="J22" i="35"/>
  <c r="K22" i="35"/>
  <c r="L22" i="35"/>
  <c r="M22" i="35"/>
  <c r="N22" i="35"/>
  <c r="O22" i="35"/>
  <c r="G23" i="35"/>
  <c r="H23" i="35"/>
  <c r="I23" i="35"/>
  <c r="J23" i="35"/>
  <c r="K23" i="35"/>
  <c r="L23" i="35"/>
  <c r="M23" i="35"/>
  <c r="N23" i="35"/>
  <c r="O23" i="35"/>
  <c r="G24" i="35"/>
  <c r="H24" i="35"/>
  <c r="I24" i="35"/>
  <c r="J24" i="35"/>
  <c r="K24" i="35"/>
  <c r="L24" i="35"/>
  <c r="M24" i="35"/>
  <c r="N24" i="35"/>
  <c r="O24" i="35"/>
  <c r="O16" i="35"/>
  <c r="N16" i="35"/>
  <c r="M16" i="35"/>
  <c r="L16" i="35"/>
  <c r="K16" i="35"/>
  <c r="J16" i="35"/>
  <c r="I16" i="35"/>
  <c r="H16" i="35"/>
  <c r="G16" i="35"/>
  <c r="G5" i="35"/>
  <c r="H5" i="35"/>
  <c r="I5" i="35"/>
  <c r="I38" i="35" s="1"/>
  <c r="J5" i="35"/>
  <c r="K5" i="35"/>
  <c r="L5" i="35"/>
  <c r="L29" i="35" s="1"/>
  <c r="M5" i="35"/>
  <c r="M35" i="35" s="1"/>
  <c r="N5" i="35"/>
  <c r="N33" i="35" s="1"/>
  <c r="O5" i="35"/>
  <c r="O32" i="35" s="1"/>
  <c r="G6" i="35"/>
  <c r="H6" i="35"/>
  <c r="I6" i="35"/>
  <c r="J6" i="35"/>
  <c r="K6" i="35"/>
  <c r="L6" i="35"/>
  <c r="L32" i="35" s="1"/>
  <c r="M6" i="35"/>
  <c r="N6" i="35"/>
  <c r="O6" i="35"/>
  <c r="G7" i="35"/>
  <c r="H7" i="35"/>
  <c r="I7" i="35"/>
  <c r="I33" i="35" s="1"/>
  <c r="J7" i="35"/>
  <c r="K7" i="35"/>
  <c r="L7" i="35"/>
  <c r="M7" i="35"/>
  <c r="N7" i="35"/>
  <c r="N37" i="35" s="1"/>
  <c r="O7" i="35"/>
  <c r="G8" i="35"/>
  <c r="H8" i="35"/>
  <c r="I8" i="35"/>
  <c r="J8" i="35"/>
  <c r="K8" i="35"/>
  <c r="L8" i="35"/>
  <c r="M8" i="35"/>
  <c r="N8" i="35"/>
  <c r="O8" i="35"/>
  <c r="G9" i="35"/>
  <c r="H9" i="35"/>
  <c r="I9" i="35"/>
  <c r="J9" i="35"/>
  <c r="K9" i="35"/>
  <c r="L9" i="35"/>
  <c r="M9" i="35"/>
  <c r="N9" i="35"/>
  <c r="O9" i="35"/>
  <c r="G10" i="35"/>
  <c r="H10" i="35"/>
  <c r="I10" i="35"/>
  <c r="J10" i="35"/>
  <c r="K10" i="35"/>
  <c r="L10" i="35"/>
  <c r="M10" i="35"/>
  <c r="N10" i="35"/>
  <c r="O10" i="35"/>
  <c r="G11" i="35"/>
  <c r="H11" i="35"/>
  <c r="I11" i="35"/>
  <c r="J11" i="35"/>
  <c r="J34" i="35" s="1"/>
  <c r="K11" i="35"/>
  <c r="L11" i="35"/>
  <c r="M11" i="35"/>
  <c r="N11" i="35"/>
  <c r="O11" i="35"/>
  <c r="G12" i="35"/>
  <c r="H12" i="35"/>
  <c r="I12" i="35"/>
  <c r="J12" i="35"/>
  <c r="K12" i="35"/>
  <c r="L12" i="35"/>
  <c r="M12" i="35"/>
  <c r="N12" i="35"/>
  <c r="O12" i="35"/>
  <c r="G13" i="35"/>
  <c r="H13" i="35"/>
  <c r="I13" i="35"/>
  <c r="J13" i="35"/>
  <c r="K13" i="35"/>
  <c r="L13" i="35"/>
  <c r="M13" i="35"/>
  <c r="N13" i="35"/>
  <c r="O13" i="35"/>
  <c r="O4" i="35"/>
  <c r="N4" i="35"/>
  <c r="M4" i="35"/>
  <c r="L4" i="35"/>
  <c r="K4" i="35"/>
  <c r="J4" i="35"/>
  <c r="I4" i="35"/>
  <c r="H4" i="35"/>
  <c r="G4" i="35"/>
  <c r="G5" i="33"/>
  <c r="H5" i="33"/>
  <c r="I5" i="33"/>
  <c r="J5" i="33"/>
  <c r="K5" i="33"/>
  <c r="L5" i="33"/>
  <c r="M5" i="33"/>
  <c r="M36" i="33" s="1"/>
  <c r="N5" i="33"/>
  <c r="N27" i="33" s="1"/>
  <c r="O5" i="33"/>
  <c r="O27" i="33" s="1"/>
  <c r="G6" i="33"/>
  <c r="H6" i="33"/>
  <c r="I6" i="33"/>
  <c r="J6" i="33"/>
  <c r="J35" i="33" s="1"/>
  <c r="K6" i="33"/>
  <c r="K29" i="33" s="1"/>
  <c r="L6" i="33"/>
  <c r="L36" i="33" s="1"/>
  <c r="M6" i="33"/>
  <c r="N6" i="33"/>
  <c r="O6" i="33"/>
  <c r="G7" i="33"/>
  <c r="H7" i="33"/>
  <c r="I7" i="33"/>
  <c r="J7" i="33"/>
  <c r="K7" i="33"/>
  <c r="L7" i="33"/>
  <c r="M7" i="33"/>
  <c r="N7" i="33"/>
  <c r="N33" i="33" s="1"/>
  <c r="O7" i="33"/>
  <c r="G8" i="33"/>
  <c r="H8" i="33"/>
  <c r="H30" i="33" s="1"/>
  <c r="I8" i="33"/>
  <c r="I33" i="33" s="1"/>
  <c r="J8" i="33"/>
  <c r="K8" i="33"/>
  <c r="L8" i="33"/>
  <c r="M8" i="33"/>
  <c r="N8" i="33"/>
  <c r="O8" i="33"/>
  <c r="G9" i="33"/>
  <c r="H9" i="33"/>
  <c r="I9" i="33"/>
  <c r="J9" i="33"/>
  <c r="K9" i="33"/>
  <c r="L9" i="33"/>
  <c r="M9" i="33"/>
  <c r="N9" i="33"/>
  <c r="O9" i="33"/>
  <c r="G10" i="33"/>
  <c r="H10" i="33"/>
  <c r="I10" i="33"/>
  <c r="J10" i="33"/>
  <c r="K10" i="33"/>
  <c r="L10" i="33"/>
  <c r="M10" i="33"/>
  <c r="N10" i="33"/>
  <c r="O10" i="33"/>
  <c r="G11" i="33"/>
  <c r="H11" i="33"/>
  <c r="I11" i="33"/>
  <c r="J11" i="33"/>
  <c r="K11" i="33"/>
  <c r="L11" i="33"/>
  <c r="M11" i="33"/>
  <c r="N11" i="33"/>
  <c r="O11" i="33"/>
  <c r="G12" i="33"/>
  <c r="G30" i="33" s="1"/>
  <c r="H12" i="33"/>
  <c r="I12" i="33"/>
  <c r="J12" i="33"/>
  <c r="K12" i="33"/>
  <c r="L12" i="33"/>
  <c r="M12" i="33"/>
  <c r="N12" i="33"/>
  <c r="O12" i="33"/>
  <c r="G13" i="33"/>
  <c r="H13" i="33"/>
  <c r="I13" i="33"/>
  <c r="J13" i="33"/>
  <c r="K13" i="33"/>
  <c r="L13" i="33"/>
  <c r="M13" i="33"/>
  <c r="N13" i="33"/>
  <c r="O13" i="33"/>
  <c r="G14" i="33"/>
  <c r="H14" i="33"/>
  <c r="I14" i="33"/>
  <c r="J14" i="33"/>
  <c r="K14" i="33"/>
  <c r="L14" i="33"/>
  <c r="M14" i="33"/>
  <c r="N14" i="33"/>
  <c r="O14" i="33"/>
  <c r="G15" i="33"/>
  <c r="H15" i="33"/>
  <c r="I15" i="33"/>
  <c r="J15" i="33"/>
  <c r="K15" i="33"/>
  <c r="L15" i="33"/>
  <c r="M15" i="33"/>
  <c r="N15" i="33"/>
  <c r="O15" i="33"/>
  <c r="G16" i="33"/>
  <c r="H16" i="33"/>
  <c r="I16" i="33"/>
  <c r="J16" i="33"/>
  <c r="K16" i="33"/>
  <c r="L16" i="33"/>
  <c r="M16" i="33"/>
  <c r="N16" i="33"/>
  <c r="O16" i="33"/>
  <c r="G17" i="33"/>
  <c r="H17" i="33"/>
  <c r="I17" i="33"/>
  <c r="J17" i="33"/>
  <c r="K17" i="33"/>
  <c r="L17" i="33"/>
  <c r="M17" i="33"/>
  <c r="N17" i="33"/>
  <c r="O17" i="33"/>
  <c r="G18" i="33"/>
  <c r="H18" i="33"/>
  <c r="I18" i="33"/>
  <c r="J18" i="33"/>
  <c r="K18" i="33"/>
  <c r="L18" i="33"/>
  <c r="M18" i="33"/>
  <c r="N18" i="33"/>
  <c r="O18" i="33"/>
  <c r="G19" i="33"/>
  <c r="H19" i="33"/>
  <c r="I19" i="33"/>
  <c r="J19" i="33"/>
  <c r="K19" i="33"/>
  <c r="L19" i="33"/>
  <c r="M19" i="33"/>
  <c r="N19" i="33"/>
  <c r="O19" i="33"/>
  <c r="G20" i="33"/>
  <c r="H20" i="33"/>
  <c r="I20" i="33"/>
  <c r="J20" i="33"/>
  <c r="K20" i="33"/>
  <c r="L20" i="33"/>
  <c r="M20" i="33"/>
  <c r="N20" i="33"/>
  <c r="O20" i="33"/>
  <c r="G21" i="33"/>
  <c r="H21" i="33"/>
  <c r="I21" i="33"/>
  <c r="J21" i="33"/>
  <c r="K21" i="33"/>
  <c r="L21" i="33"/>
  <c r="M21" i="33"/>
  <c r="N21" i="33"/>
  <c r="O21" i="33"/>
  <c r="G22" i="33"/>
  <c r="H22" i="33"/>
  <c r="I22" i="33"/>
  <c r="J22" i="33"/>
  <c r="K22" i="33"/>
  <c r="L22" i="33"/>
  <c r="M22" i="33"/>
  <c r="N22" i="33"/>
  <c r="O22" i="33"/>
  <c r="H31" i="33"/>
  <c r="O4" i="33"/>
  <c r="N4" i="33"/>
  <c r="M4" i="33"/>
  <c r="L4" i="33"/>
  <c r="K4" i="33"/>
  <c r="J4" i="33"/>
  <c r="I4" i="33"/>
  <c r="H4" i="33"/>
  <c r="G4" i="33"/>
  <c r="G5" i="32"/>
  <c r="H5" i="32"/>
  <c r="I5" i="32"/>
  <c r="J5" i="32"/>
  <c r="K5" i="32"/>
  <c r="L5" i="32"/>
  <c r="M5" i="32"/>
  <c r="N5" i="32"/>
  <c r="O5" i="32"/>
  <c r="G6" i="32"/>
  <c r="H6" i="32"/>
  <c r="I6" i="32"/>
  <c r="J6" i="32"/>
  <c r="K6" i="32"/>
  <c r="L6" i="32"/>
  <c r="M6" i="32"/>
  <c r="N6" i="32"/>
  <c r="O6" i="32"/>
  <c r="G7" i="32"/>
  <c r="H7" i="32"/>
  <c r="I7" i="32"/>
  <c r="J7" i="32"/>
  <c r="K7" i="32"/>
  <c r="L7" i="32"/>
  <c r="M7" i="32"/>
  <c r="N7" i="32"/>
  <c r="O7" i="32"/>
  <c r="G8" i="32"/>
  <c r="H8" i="32"/>
  <c r="I8" i="32"/>
  <c r="J8" i="32"/>
  <c r="K8" i="32"/>
  <c r="L8" i="32"/>
  <c r="M8" i="32"/>
  <c r="N8" i="32"/>
  <c r="O8" i="32"/>
  <c r="G9" i="32"/>
  <c r="H9" i="32"/>
  <c r="I9" i="32"/>
  <c r="J9" i="32"/>
  <c r="K9" i="32"/>
  <c r="L9" i="32"/>
  <c r="M9" i="32"/>
  <c r="N9" i="32"/>
  <c r="O9" i="32"/>
  <c r="G10" i="32"/>
  <c r="H10" i="32"/>
  <c r="I10" i="32"/>
  <c r="J10" i="32"/>
  <c r="K10" i="32"/>
  <c r="L10" i="32"/>
  <c r="M10" i="32"/>
  <c r="N10" i="32"/>
  <c r="O10" i="32"/>
  <c r="G11" i="32"/>
  <c r="H11" i="32"/>
  <c r="I11" i="32"/>
  <c r="J11" i="32"/>
  <c r="K11" i="32"/>
  <c r="L11" i="32"/>
  <c r="M11" i="32"/>
  <c r="N11" i="32"/>
  <c r="O11" i="32"/>
  <c r="G12" i="32"/>
  <c r="H12" i="32"/>
  <c r="I12" i="32"/>
  <c r="J12" i="32"/>
  <c r="K12" i="32"/>
  <c r="L12" i="32"/>
  <c r="M12" i="32"/>
  <c r="N12" i="32"/>
  <c r="O12" i="32"/>
  <c r="G13" i="32"/>
  <c r="H13" i="32"/>
  <c r="I13" i="32"/>
  <c r="J13" i="32"/>
  <c r="K13" i="32"/>
  <c r="L13" i="32"/>
  <c r="M13" i="32"/>
  <c r="N13" i="32"/>
  <c r="O13" i="32"/>
  <c r="G14" i="32"/>
  <c r="H14" i="32"/>
  <c r="I14" i="32"/>
  <c r="J14" i="32"/>
  <c r="K14" i="32"/>
  <c r="L14" i="32"/>
  <c r="M14" i="32"/>
  <c r="N14" i="32"/>
  <c r="O14" i="32"/>
  <c r="G15" i="32"/>
  <c r="H15" i="32"/>
  <c r="I15" i="32"/>
  <c r="J15" i="32"/>
  <c r="K15" i="32"/>
  <c r="L15" i="32"/>
  <c r="M15" i="32"/>
  <c r="N15" i="32"/>
  <c r="O15" i="32"/>
  <c r="G16" i="32"/>
  <c r="H16" i="32"/>
  <c r="I16" i="32"/>
  <c r="J16" i="32"/>
  <c r="K16" i="32"/>
  <c r="L16" i="32"/>
  <c r="M16" i="32"/>
  <c r="N16" i="32"/>
  <c r="O16" i="32"/>
  <c r="G17" i="32"/>
  <c r="H17" i="32"/>
  <c r="I17" i="32"/>
  <c r="J17" i="32"/>
  <c r="K17" i="32"/>
  <c r="L17" i="32"/>
  <c r="M17" i="32"/>
  <c r="N17" i="32"/>
  <c r="O17" i="32"/>
  <c r="G18" i="32"/>
  <c r="H18" i="32"/>
  <c r="I18" i="32"/>
  <c r="J18" i="32"/>
  <c r="K18" i="32"/>
  <c r="L18" i="32"/>
  <c r="M18" i="32"/>
  <c r="N18" i="32"/>
  <c r="O18" i="32"/>
  <c r="G19" i="32"/>
  <c r="H19" i="32"/>
  <c r="I19" i="32"/>
  <c r="J19" i="32"/>
  <c r="K19" i="32"/>
  <c r="L19" i="32"/>
  <c r="M19" i="32"/>
  <c r="N19" i="32"/>
  <c r="O19" i="32"/>
  <c r="G20" i="32"/>
  <c r="H20" i="32"/>
  <c r="I20" i="32"/>
  <c r="J20" i="32"/>
  <c r="K20" i="32"/>
  <c r="L20" i="32"/>
  <c r="M20" i="32"/>
  <c r="N20" i="32"/>
  <c r="O20" i="32"/>
  <c r="G21" i="32"/>
  <c r="H21" i="32"/>
  <c r="I21" i="32"/>
  <c r="J21" i="32"/>
  <c r="K21" i="32"/>
  <c r="L21" i="32"/>
  <c r="M21" i="32"/>
  <c r="N21" i="32"/>
  <c r="O21" i="32"/>
  <c r="G22" i="32"/>
  <c r="H22" i="32"/>
  <c r="I22" i="32"/>
  <c r="J22" i="32"/>
  <c r="K22" i="32"/>
  <c r="L22" i="32"/>
  <c r="M22" i="32"/>
  <c r="N22" i="32"/>
  <c r="O22" i="32"/>
  <c r="O4" i="32"/>
  <c r="N4" i="32"/>
  <c r="M4" i="32"/>
  <c r="L4" i="32"/>
  <c r="K4" i="32"/>
  <c r="J4" i="32"/>
  <c r="I4" i="32"/>
  <c r="H4" i="32"/>
  <c r="G4" i="32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2" i="31"/>
  <c r="N4" i="31"/>
  <c r="O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4" i="31"/>
  <c r="K5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18" i="31"/>
  <c r="K19" i="31"/>
  <c r="K20" i="31"/>
  <c r="K22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K4" i="31"/>
  <c r="L4" i="31"/>
  <c r="J5" i="31"/>
  <c r="J6" i="31"/>
  <c r="J7" i="31"/>
  <c r="J8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2" i="31"/>
  <c r="H4" i="31"/>
  <c r="I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4" i="31"/>
  <c r="O33" i="36"/>
  <c r="O50" i="34"/>
  <c r="E13" i="36"/>
  <c r="D13" i="36"/>
  <c r="E12" i="36"/>
  <c r="F11" i="36"/>
  <c r="F10" i="36"/>
  <c r="F9" i="36"/>
  <c r="F8" i="36"/>
  <c r="F7" i="36"/>
  <c r="F6" i="36"/>
  <c r="F5" i="36"/>
  <c r="F4" i="36"/>
  <c r="F14" i="35"/>
  <c r="E14" i="35"/>
  <c r="D14" i="35"/>
  <c r="F45" i="34"/>
  <c r="E45" i="34"/>
  <c r="D45" i="34"/>
  <c r="E23" i="34"/>
  <c r="D23" i="34"/>
  <c r="E22" i="34"/>
  <c r="F21" i="34"/>
  <c r="F20" i="34"/>
  <c r="F19" i="34"/>
  <c r="F18" i="34"/>
  <c r="F17" i="34"/>
  <c r="F16" i="34"/>
  <c r="F15" i="34"/>
  <c r="F14" i="34"/>
  <c r="X22" i="33"/>
  <c r="E22" i="33" s="1"/>
  <c r="W22" i="33"/>
  <c r="D22" i="33" s="1"/>
  <c r="V22" i="33"/>
  <c r="F22" i="33" s="1"/>
  <c r="U22" i="33"/>
  <c r="B22" i="33"/>
  <c r="V21" i="33"/>
  <c r="U21" i="33"/>
  <c r="W21" i="33" s="1"/>
  <c r="F21" i="33"/>
  <c r="D21" i="33"/>
  <c r="B21" i="33"/>
  <c r="X20" i="33"/>
  <c r="V20" i="33"/>
  <c r="U20" i="33"/>
  <c r="W20" i="33" s="1"/>
  <c r="F20" i="33"/>
  <c r="E20" i="33"/>
  <c r="D20" i="33"/>
  <c r="B20" i="33"/>
  <c r="W19" i="33"/>
  <c r="D19" i="33" s="1"/>
  <c r="V19" i="33"/>
  <c r="F19" i="33" s="1"/>
  <c r="U19" i="33"/>
  <c r="B19" i="33"/>
  <c r="W18" i="33"/>
  <c r="V18" i="33"/>
  <c r="U18" i="33"/>
  <c r="F18" i="33"/>
  <c r="B18" i="33"/>
  <c r="V17" i="33"/>
  <c r="U17" i="33"/>
  <c r="W17" i="33" s="1"/>
  <c r="D17" i="33" s="1"/>
  <c r="F17" i="33"/>
  <c r="B17" i="33"/>
  <c r="V16" i="33"/>
  <c r="U16" i="33"/>
  <c r="W16" i="33" s="1"/>
  <c r="F16" i="33"/>
  <c r="D16" i="33"/>
  <c r="B16" i="33"/>
  <c r="V15" i="33"/>
  <c r="U15" i="33"/>
  <c r="W15" i="33" s="1"/>
  <c r="D15" i="33" s="1"/>
  <c r="F15" i="33"/>
  <c r="B15" i="33"/>
  <c r="V14" i="33"/>
  <c r="X14" i="33" s="1"/>
  <c r="E14" i="33" s="1"/>
  <c r="U14" i="33"/>
  <c r="W14" i="33" s="1"/>
  <c r="D14" i="33" s="1"/>
  <c r="F14" i="33"/>
  <c r="B14" i="33"/>
  <c r="V13" i="33"/>
  <c r="U13" i="33"/>
  <c r="W13" i="33" s="1"/>
  <c r="D13" i="33" s="1"/>
  <c r="B13" i="33"/>
  <c r="V12" i="33"/>
  <c r="U12" i="33"/>
  <c r="W12" i="33" s="1"/>
  <c r="D12" i="33" s="1"/>
  <c r="B12" i="33"/>
  <c r="V11" i="33"/>
  <c r="F11" i="33" s="1"/>
  <c r="U11" i="33"/>
  <c r="W11" i="33" s="1"/>
  <c r="D11" i="33" s="1"/>
  <c r="B11" i="33"/>
  <c r="X10" i="33"/>
  <c r="E10" i="33" s="1"/>
  <c r="V10" i="33"/>
  <c r="F10" i="33" s="1"/>
  <c r="U10" i="33"/>
  <c r="W10" i="33" s="1"/>
  <c r="D10" i="33" s="1"/>
  <c r="B10" i="33"/>
  <c r="W9" i="33"/>
  <c r="D9" i="33" s="1"/>
  <c r="V9" i="33"/>
  <c r="F9" i="33" s="1"/>
  <c r="U9" i="33"/>
  <c r="B9" i="33"/>
  <c r="W8" i="33"/>
  <c r="D8" i="33" s="1"/>
  <c r="V8" i="33"/>
  <c r="U8" i="33"/>
  <c r="F8" i="33"/>
  <c r="B8" i="33"/>
  <c r="V7" i="33"/>
  <c r="U7" i="33"/>
  <c r="W7" i="33" s="1"/>
  <c r="D7" i="33" s="1"/>
  <c r="F7" i="33"/>
  <c r="B7" i="33"/>
  <c r="V6" i="33"/>
  <c r="U6" i="33"/>
  <c r="W6" i="33" s="1"/>
  <c r="X6" i="33" s="1"/>
  <c r="E6" i="33" s="1"/>
  <c r="F6" i="33"/>
  <c r="B6" i="33"/>
  <c r="W5" i="33"/>
  <c r="D5" i="33" s="1"/>
  <c r="V5" i="33"/>
  <c r="F5" i="33" s="1"/>
  <c r="U5" i="33"/>
  <c r="B5" i="33"/>
  <c r="X4" i="33"/>
  <c r="E4" i="33" s="1"/>
  <c r="W4" i="33"/>
  <c r="V4" i="33"/>
  <c r="F4" i="33" s="1"/>
  <c r="B4" i="33"/>
  <c r="V22" i="32"/>
  <c r="F22" i="32" s="1"/>
  <c r="U22" i="32"/>
  <c r="W22" i="32" s="1"/>
  <c r="D22" i="32" s="1"/>
  <c r="B22" i="32"/>
  <c r="V21" i="32"/>
  <c r="F21" i="32" s="1"/>
  <c r="U21" i="32"/>
  <c r="W21" i="32" s="1"/>
  <c r="D21" i="32" s="1"/>
  <c r="B21" i="32"/>
  <c r="V20" i="32"/>
  <c r="F20" i="32" s="1"/>
  <c r="U20" i="32"/>
  <c r="W20" i="32" s="1"/>
  <c r="D20" i="32" s="1"/>
  <c r="B20" i="32"/>
  <c r="V19" i="32"/>
  <c r="U19" i="32"/>
  <c r="W19" i="32" s="1"/>
  <c r="D19" i="32" s="1"/>
  <c r="F19" i="32"/>
  <c r="B19" i="32"/>
  <c r="V18" i="32"/>
  <c r="F18" i="32" s="1"/>
  <c r="U18" i="32"/>
  <c r="W18" i="32" s="1"/>
  <c r="B18" i="32"/>
  <c r="V17" i="32"/>
  <c r="U17" i="32"/>
  <c r="W17" i="32" s="1"/>
  <c r="X17" i="32" s="1"/>
  <c r="E17" i="32" s="1"/>
  <c r="F17" i="32"/>
  <c r="B17" i="32"/>
  <c r="V16" i="32"/>
  <c r="U16" i="32"/>
  <c r="W16" i="32" s="1"/>
  <c r="D16" i="32" s="1"/>
  <c r="F16" i="32"/>
  <c r="B16" i="32"/>
  <c r="V15" i="32"/>
  <c r="U15" i="32"/>
  <c r="W15" i="32" s="1"/>
  <c r="D15" i="32" s="1"/>
  <c r="F15" i="32"/>
  <c r="B15" i="32"/>
  <c r="V14" i="32"/>
  <c r="U14" i="32"/>
  <c r="W14" i="32" s="1"/>
  <c r="D14" i="32" s="1"/>
  <c r="B14" i="32"/>
  <c r="V13" i="32"/>
  <c r="U13" i="32"/>
  <c r="W13" i="32" s="1"/>
  <c r="D13" i="32" s="1"/>
  <c r="B13" i="32"/>
  <c r="V12" i="32"/>
  <c r="F12" i="32" s="1"/>
  <c r="U12" i="32"/>
  <c r="W12" i="32" s="1"/>
  <c r="D12" i="32" s="1"/>
  <c r="B12" i="32"/>
  <c r="V11" i="32"/>
  <c r="F11" i="32" s="1"/>
  <c r="U11" i="32"/>
  <c r="W11" i="32" s="1"/>
  <c r="D11" i="32" s="1"/>
  <c r="B11" i="32"/>
  <c r="V10" i="32"/>
  <c r="F10" i="32" s="1"/>
  <c r="U10" i="32"/>
  <c r="W10" i="32" s="1"/>
  <c r="D10" i="32" s="1"/>
  <c r="B10" i="32"/>
  <c r="V9" i="32"/>
  <c r="F9" i="32" s="1"/>
  <c r="U9" i="32"/>
  <c r="W9" i="32" s="1"/>
  <c r="D9" i="32" s="1"/>
  <c r="B9" i="32"/>
  <c r="V8" i="32"/>
  <c r="F8" i="32" s="1"/>
  <c r="U8" i="32"/>
  <c r="W8" i="32" s="1"/>
  <c r="D8" i="32" s="1"/>
  <c r="B8" i="32"/>
  <c r="V7" i="32"/>
  <c r="U7" i="32"/>
  <c r="W7" i="32" s="1"/>
  <c r="D7" i="32" s="1"/>
  <c r="F7" i="32"/>
  <c r="B7" i="32"/>
  <c r="V6" i="32"/>
  <c r="F6" i="32" s="1"/>
  <c r="U6" i="32"/>
  <c r="W6" i="32" s="1"/>
  <c r="D6" i="32" s="1"/>
  <c r="B6" i="32"/>
  <c r="V5" i="32"/>
  <c r="F5" i="32" s="1"/>
  <c r="U5" i="32"/>
  <c r="W5" i="32" s="1"/>
  <c r="D5" i="32" s="1"/>
  <c r="B5" i="32"/>
  <c r="W4" i="32"/>
  <c r="D4" i="32" s="1"/>
  <c r="V4" i="32"/>
  <c r="F4" i="32" s="1"/>
  <c r="B4" i="32"/>
  <c r="V22" i="31"/>
  <c r="F22" i="31" s="1"/>
  <c r="U22" i="31"/>
  <c r="W22" i="31" s="1"/>
  <c r="D22" i="31" s="1"/>
  <c r="B22" i="31"/>
  <c r="V21" i="31"/>
  <c r="F21" i="31" s="1"/>
  <c r="U21" i="31"/>
  <c r="W21" i="31" s="1"/>
  <c r="D21" i="31" s="1"/>
  <c r="B21" i="31"/>
  <c r="V20" i="31"/>
  <c r="F20" i="31" s="1"/>
  <c r="U20" i="31"/>
  <c r="W20" i="31" s="1"/>
  <c r="D20" i="31" s="1"/>
  <c r="B20" i="31"/>
  <c r="V19" i="31"/>
  <c r="F19" i="31" s="1"/>
  <c r="U19" i="31"/>
  <c r="W19" i="31" s="1"/>
  <c r="D19" i="31" s="1"/>
  <c r="B19" i="31"/>
  <c r="W18" i="31"/>
  <c r="V18" i="31"/>
  <c r="F18" i="31" s="1"/>
  <c r="U18" i="31"/>
  <c r="D18" i="31"/>
  <c r="B18" i="31"/>
  <c r="V17" i="31"/>
  <c r="F17" i="31" s="1"/>
  <c r="U17" i="31"/>
  <c r="W17" i="31" s="1"/>
  <c r="D17" i="31" s="1"/>
  <c r="B17" i="31"/>
  <c r="V16" i="31"/>
  <c r="F16" i="31" s="1"/>
  <c r="U16" i="31"/>
  <c r="W16" i="31" s="1"/>
  <c r="B16" i="31"/>
  <c r="V15" i="31"/>
  <c r="U15" i="31"/>
  <c r="W15" i="31" s="1"/>
  <c r="F15" i="31"/>
  <c r="B15" i="31"/>
  <c r="V14" i="31"/>
  <c r="F14" i="31" s="1"/>
  <c r="U14" i="31"/>
  <c r="W14" i="31" s="1"/>
  <c r="D14" i="31" s="1"/>
  <c r="B14" i="31"/>
  <c r="V13" i="31"/>
  <c r="F13" i="31" s="1"/>
  <c r="U13" i="31"/>
  <c r="W13" i="31" s="1"/>
  <c r="D13" i="31" s="1"/>
  <c r="B13" i="31"/>
  <c r="V12" i="31"/>
  <c r="F12" i="31" s="1"/>
  <c r="U12" i="31"/>
  <c r="W12" i="31" s="1"/>
  <c r="D12" i="31" s="1"/>
  <c r="B12" i="31"/>
  <c r="V11" i="31"/>
  <c r="F11" i="31" s="1"/>
  <c r="U11" i="31"/>
  <c r="W11" i="31" s="1"/>
  <c r="D11" i="31" s="1"/>
  <c r="B11" i="31"/>
  <c r="V10" i="31"/>
  <c r="F10" i="31" s="1"/>
  <c r="U10" i="31"/>
  <c r="W10" i="31" s="1"/>
  <c r="D10" i="31" s="1"/>
  <c r="B10" i="31"/>
  <c r="V9" i="31"/>
  <c r="F9" i="31" s="1"/>
  <c r="U9" i="31"/>
  <c r="W9" i="31" s="1"/>
  <c r="D9" i="31" s="1"/>
  <c r="B9" i="31"/>
  <c r="V8" i="31"/>
  <c r="U8" i="31"/>
  <c r="W8" i="31" s="1"/>
  <c r="D8" i="31" s="1"/>
  <c r="B8" i="31"/>
  <c r="V7" i="31"/>
  <c r="U7" i="31"/>
  <c r="W7" i="31" s="1"/>
  <c r="D7" i="31" s="1"/>
  <c r="B7" i="31"/>
  <c r="V6" i="31"/>
  <c r="F6" i="31" s="1"/>
  <c r="U6" i="31"/>
  <c r="W6" i="31" s="1"/>
  <c r="D6" i="31" s="1"/>
  <c r="B6" i="31"/>
  <c r="V5" i="31"/>
  <c r="F5" i="31" s="1"/>
  <c r="U5" i="31"/>
  <c r="W5" i="31" s="1"/>
  <c r="D5" i="31" s="1"/>
  <c r="B5" i="31"/>
  <c r="W4" i="31"/>
  <c r="V4" i="31"/>
  <c r="F4" i="31" s="1"/>
  <c r="D4" i="31"/>
  <c r="B4" i="31"/>
  <c r="D27" i="20"/>
  <c r="H13" i="16"/>
  <c r="F38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J86" i="10"/>
  <c r="J85" i="10"/>
  <c r="J84" i="10"/>
  <c r="J83" i="10"/>
  <c r="J82" i="10"/>
  <c r="J73" i="10"/>
  <c r="J69" i="10"/>
  <c r="J68" i="10"/>
  <c r="J67" i="10"/>
  <c r="J66" i="10"/>
  <c r="J65" i="10"/>
  <c r="J52" i="10"/>
  <c r="J51" i="10"/>
  <c r="J50" i="10"/>
  <c r="J49" i="10"/>
  <c r="J48" i="10"/>
  <c r="J81" i="10"/>
  <c r="J80" i="10"/>
  <c r="J79" i="10"/>
  <c r="J78" i="10"/>
  <c r="J77" i="10"/>
  <c r="J76" i="10"/>
  <c r="J75" i="10"/>
  <c r="J74" i="10"/>
  <c r="J64" i="10"/>
  <c r="J63" i="10"/>
  <c r="J62" i="10"/>
  <c r="J61" i="10"/>
  <c r="J60" i="10"/>
  <c r="J59" i="10"/>
  <c r="J58" i="10"/>
  <c r="J57" i="10"/>
  <c r="J56" i="10"/>
  <c r="J47" i="10"/>
  <c r="J46" i="10"/>
  <c r="J45" i="10"/>
  <c r="J44" i="10"/>
  <c r="J43" i="10"/>
  <c r="J42" i="10"/>
  <c r="J41" i="10"/>
  <c r="J40" i="10"/>
  <c r="J39" i="10"/>
  <c r="G82" i="10"/>
  <c r="G73" i="10"/>
  <c r="G74" i="10"/>
  <c r="G75" i="10"/>
  <c r="G76" i="10"/>
  <c r="G77" i="10"/>
  <c r="G78" i="10"/>
  <c r="G79" i="10"/>
  <c r="G80" i="10"/>
  <c r="G81" i="10"/>
  <c r="G72" i="10"/>
  <c r="G83" i="10" s="1"/>
  <c r="G84" i="10" s="1"/>
  <c r="G85" i="10" s="1"/>
  <c r="G86" i="10" s="1"/>
  <c r="G65" i="10"/>
  <c r="G56" i="10" s="1"/>
  <c r="G59" i="10"/>
  <c r="G60" i="10"/>
  <c r="G48" i="10"/>
  <c r="G39" i="10" s="1"/>
  <c r="D48" i="10"/>
  <c r="D46" i="10" s="1"/>
  <c r="D82" i="10"/>
  <c r="D72" i="10" s="1"/>
  <c r="D63" i="10"/>
  <c r="D56" i="10" s="1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45" i="13" s="1"/>
  <c r="I16" i="13"/>
  <c r="I15" i="13"/>
  <c r="I14" i="13"/>
  <c r="I13" i="13"/>
  <c r="I12" i="13"/>
  <c r="I11" i="13"/>
  <c r="I10" i="13"/>
  <c r="I9" i="13"/>
  <c r="I8" i="13"/>
  <c r="I7" i="13"/>
  <c r="I6" i="13"/>
  <c r="I5" i="13"/>
  <c r="H6" i="13"/>
  <c r="H45" i="13" s="1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5" i="13"/>
  <c r="M6" i="13"/>
  <c r="O47" i="13" s="1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5" i="13"/>
  <c r="L6" i="13"/>
  <c r="L7" i="13"/>
  <c r="L8" i="13"/>
  <c r="L9" i="13"/>
  <c r="L10" i="13"/>
  <c r="L11" i="13"/>
  <c r="L12" i="13"/>
  <c r="L13" i="13"/>
  <c r="L14" i="13"/>
  <c r="L15" i="13"/>
  <c r="N47" i="13" s="1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5" i="13"/>
  <c r="AA13" i="13"/>
  <c r="AB13" i="13" s="1"/>
  <c r="AA4" i="13"/>
  <c r="AB4" i="13" s="1"/>
  <c r="AA5" i="13"/>
  <c r="AB5" i="13" s="1"/>
  <c r="AA6" i="13"/>
  <c r="AB6" i="13" s="1"/>
  <c r="AA7" i="13"/>
  <c r="AB7" i="13" s="1"/>
  <c r="AA8" i="13"/>
  <c r="AB8" i="13" s="1"/>
  <c r="AA9" i="13"/>
  <c r="AB9" i="13" s="1"/>
  <c r="AA10" i="13"/>
  <c r="AB10" i="13" s="1"/>
  <c r="AA11" i="13"/>
  <c r="AB11" i="13" s="1"/>
  <c r="AA12" i="13"/>
  <c r="AB12" i="13" s="1"/>
  <c r="N53" i="34" l="1"/>
  <c r="N52" i="34"/>
  <c r="M51" i="34"/>
  <c r="M57" i="34"/>
  <c r="K54" i="34"/>
  <c r="J50" i="34"/>
  <c r="M50" i="34"/>
  <c r="G52" i="34"/>
  <c r="L51" i="34"/>
  <c r="K57" i="34"/>
  <c r="L50" i="34"/>
  <c r="L54" i="34"/>
  <c r="L49" i="34"/>
  <c r="L48" i="34"/>
  <c r="J57" i="34"/>
  <c r="J56" i="34"/>
  <c r="J48" i="34"/>
  <c r="J55" i="34"/>
  <c r="H51" i="34"/>
  <c r="G51" i="34"/>
  <c r="L57" i="34"/>
  <c r="I51" i="34"/>
  <c r="I52" i="34"/>
  <c r="L53" i="34"/>
  <c r="I50" i="34"/>
  <c r="L52" i="34"/>
  <c r="H48" i="34"/>
  <c r="H53" i="34"/>
  <c r="H52" i="34"/>
  <c r="H50" i="34"/>
  <c r="L56" i="34"/>
  <c r="O49" i="34"/>
  <c r="N56" i="34"/>
  <c r="O48" i="34"/>
  <c r="N55" i="34"/>
  <c r="N48" i="34"/>
  <c r="K49" i="34"/>
  <c r="O57" i="34"/>
  <c r="M56" i="34"/>
  <c r="O56" i="34"/>
  <c r="M55" i="34"/>
  <c r="O55" i="34"/>
  <c r="M54" i="34"/>
  <c r="K56" i="34"/>
  <c r="O54" i="34"/>
  <c r="M53" i="34"/>
  <c r="O53" i="34"/>
  <c r="M52" i="34"/>
  <c r="G49" i="34"/>
  <c r="I57" i="34"/>
  <c r="H57" i="34"/>
  <c r="H56" i="34"/>
  <c r="I48" i="34"/>
  <c r="H55" i="34"/>
  <c r="I56" i="34"/>
  <c r="N50" i="34"/>
  <c r="J53" i="34"/>
  <c r="H54" i="34"/>
  <c r="I55" i="34"/>
  <c r="N49" i="34"/>
  <c r="H49" i="34"/>
  <c r="I49" i="34"/>
  <c r="K55" i="34"/>
  <c r="K52" i="34"/>
  <c r="G56" i="34"/>
  <c r="G53" i="34"/>
  <c r="K53" i="34"/>
  <c r="G55" i="34"/>
  <c r="K51" i="34"/>
  <c r="G54" i="34"/>
  <c r="K50" i="34"/>
  <c r="G48" i="34"/>
  <c r="G57" i="34"/>
  <c r="I29" i="36"/>
  <c r="M33" i="36"/>
  <c r="J33" i="36"/>
  <c r="M32" i="36"/>
  <c r="K35" i="36"/>
  <c r="M29" i="36"/>
  <c r="L34" i="36"/>
  <c r="O34" i="36"/>
  <c r="M30" i="36"/>
  <c r="I35" i="36"/>
  <c r="I34" i="36"/>
  <c r="G32" i="36"/>
  <c r="K32" i="36"/>
  <c r="K33" i="36"/>
  <c r="J35" i="36"/>
  <c r="K27" i="36"/>
  <c r="I32" i="36"/>
  <c r="J28" i="36"/>
  <c r="K36" i="36"/>
  <c r="J34" i="36"/>
  <c r="L30" i="36"/>
  <c r="N30" i="36"/>
  <c r="L29" i="36"/>
  <c r="N29" i="36"/>
  <c r="N28" i="36"/>
  <c r="N31" i="36"/>
  <c r="M36" i="36"/>
  <c r="O36" i="36"/>
  <c r="L28" i="36"/>
  <c r="M35" i="36"/>
  <c r="O35" i="36"/>
  <c r="L31" i="36"/>
  <c r="N36" i="36"/>
  <c r="O29" i="36"/>
  <c r="O27" i="36"/>
  <c r="N35" i="36"/>
  <c r="O28" i="36"/>
  <c r="N27" i="36"/>
  <c r="N34" i="36"/>
  <c r="M27" i="36"/>
  <c r="L36" i="36"/>
  <c r="N33" i="36"/>
  <c r="O32" i="36"/>
  <c r="O31" i="36"/>
  <c r="L27" i="36"/>
  <c r="G31" i="36"/>
  <c r="G30" i="36"/>
  <c r="H31" i="36"/>
  <c r="G29" i="36"/>
  <c r="H30" i="36"/>
  <c r="J32" i="36"/>
  <c r="H29" i="36"/>
  <c r="L33" i="36"/>
  <c r="G28" i="36"/>
  <c r="H28" i="36"/>
  <c r="J30" i="36"/>
  <c r="L32" i="36"/>
  <c r="H32" i="36"/>
  <c r="J31" i="36"/>
  <c r="I36" i="36"/>
  <c r="J29" i="36"/>
  <c r="G27" i="36"/>
  <c r="I31" i="36"/>
  <c r="H27" i="36"/>
  <c r="I30" i="36"/>
  <c r="G35" i="36"/>
  <c r="K31" i="36"/>
  <c r="G34" i="36"/>
  <c r="H35" i="36"/>
  <c r="I28" i="36"/>
  <c r="K30" i="36"/>
  <c r="H36" i="36"/>
  <c r="G33" i="36"/>
  <c r="H34" i="36"/>
  <c r="J36" i="36"/>
  <c r="K29" i="36"/>
  <c r="M31" i="36"/>
  <c r="I27" i="36"/>
  <c r="G36" i="36"/>
  <c r="L36" i="35"/>
  <c r="G31" i="35"/>
  <c r="I29" i="35"/>
  <c r="L37" i="35"/>
  <c r="N36" i="35"/>
  <c r="M31" i="35"/>
  <c r="I35" i="35"/>
  <c r="L35" i="35"/>
  <c r="L34" i="35"/>
  <c r="L31" i="35"/>
  <c r="H33" i="35"/>
  <c r="K35" i="35"/>
  <c r="M29" i="35"/>
  <c r="M34" i="35"/>
  <c r="M33" i="35"/>
  <c r="M32" i="35"/>
  <c r="K33" i="35"/>
  <c r="J33" i="35"/>
  <c r="J37" i="35"/>
  <c r="J32" i="35"/>
  <c r="J31" i="35"/>
  <c r="I34" i="35"/>
  <c r="J29" i="35"/>
  <c r="J38" i="35"/>
  <c r="J36" i="35"/>
  <c r="O33" i="35"/>
  <c r="J35" i="35"/>
  <c r="G34" i="35"/>
  <c r="G33" i="35"/>
  <c r="K34" i="35"/>
  <c r="H32" i="35"/>
  <c r="O31" i="35"/>
  <c r="O30" i="35"/>
  <c r="M30" i="35"/>
  <c r="L30" i="35"/>
  <c r="N29" i="35"/>
  <c r="N38" i="35"/>
  <c r="N32" i="35"/>
  <c r="N30" i="35"/>
  <c r="M38" i="35"/>
  <c r="O38" i="35"/>
  <c r="M37" i="35"/>
  <c r="O37" i="35"/>
  <c r="N34" i="35"/>
  <c r="N31" i="35"/>
  <c r="M36" i="35"/>
  <c r="O36" i="35"/>
  <c r="G38" i="35"/>
  <c r="H30" i="35"/>
  <c r="H29" i="35"/>
  <c r="G37" i="35"/>
  <c r="G29" i="35"/>
  <c r="I31" i="35"/>
  <c r="K31" i="35"/>
  <c r="O35" i="35"/>
  <c r="H31" i="35"/>
  <c r="K32" i="35"/>
  <c r="G36" i="35"/>
  <c r="G32" i="35"/>
  <c r="I30" i="35"/>
  <c r="K30" i="35"/>
  <c r="O34" i="35"/>
  <c r="I32" i="35"/>
  <c r="G35" i="35"/>
  <c r="O29" i="35"/>
  <c r="L38" i="35"/>
  <c r="G30" i="35"/>
  <c r="K29" i="35"/>
  <c r="H38" i="35"/>
  <c r="L33" i="35"/>
  <c r="N35" i="35"/>
  <c r="H37" i="35"/>
  <c r="K38" i="35"/>
  <c r="H35" i="35"/>
  <c r="I37" i="35"/>
  <c r="K37" i="35"/>
  <c r="H36" i="35"/>
  <c r="H34" i="35"/>
  <c r="I36" i="35"/>
  <c r="K36" i="35"/>
  <c r="J32" i="33"/>
  <c r="M31" i="33"/>
  <c r="J28" i="33"/>
  <c r="L29" i="33"/>
  <c r="K35" i="33"/>
  <c r="L33" i="33"/>
  <c r="M27" i="33"/>
  <c r="N36" i="33"/>
  <c r="J30" i="33"/>
  <c r="O34" i="33"/>
  <c r="K36" i="33"/>
  <c r="I28" i="33"/>
  <c r="K28" i="33"/>
  <c r="M30" i="33"/>
  <c r="O36" i="33"/>
  <c r="L28" i="33"/>
  <c r="N30" i="33"/>
  <c r="O33" i="33"/>
  <c r="M28" i="33"/>
  <c r="O30" i="33"/>
  <c r="H34" i="33"/>
  <c r="N28" i="33"/>
  <c r="M34" i="33"/>
  <c r="G31" i="33"/>
  <c r="K27" i="33"/>
  <c r="M29" i="33"/>
  <c r="O31" i="33"/>
  <c r="L35" i="33"/>
  <c r="L34" i="33"/>
  <c r="M33" i="33"/>
  <c r="I31" i="33"/>
  <c r="J29" i="33"/>
  <c r="I29" i="33"/>
  <c r="J36" i="33"/>
  <c r="N29" i="33"/>
  <c r="L27" i="33"/>
  <c r="O29" i="33"/>
  <c r="M32" i="33"/>
  <c r="N35" i="33"/>
  <c r="L30" i="33"/>
  <c r="N34" i="33"/>
  <c r="H29" i="33"/>
  <c r="J31" i="33"/>
  <c r="N31" i="33"/>
  <c r="J27" i="33"/>
  <c r="M35" i="33"/>
  <c r="N32" i="33"/>
  <c r="O35" i="33"/>
  <c r="O32" i="33"/>
  <c r="O28" i="33"/>
  <c r="I30" i="33"/>
  <c r="G33" i="33"/>
  <c r="H33" i="33"/>
  <c r="G35" i="33"/>
  <c r="G28" i="33"/>
  <c r="L31" i="33"/>
  <c r="J33" i="33"/>
  <c r="H35" i="33"/>
  <c r="K31" i="33"/>
  <c r="H28" i="33"/>
  <c r="K33" i="33"/>
  <c r="I35" i="33"/>
  <c r="G32" i="33"/>
  <c r="H32" i="33"/>
  <c r="K30" i="33"/>
  <c r="I32" i="33"/>
  <c r="G34" i="33"/>
  <c r="H27" i="33"/>
  <c r="K32" i="33"/>
  <c r="I34" i="33"/>
  <c r="G36" i="33"/>
  <c r="I27" i="33"/>
  <c r="G29" i="33"/>
  <c r="L32" i="33"/>
  <c r="J34" i="33"/>
  <c r="H36" i="33"/>
  <c r="I36" i="33"/>
  <c r="G27" i="33"/>
  <c r="K34" i="33"/>
  <c r="K36" i="32"/>
  <c r="J30" i="35"/>
  <c r="X18" i="32"/>
  <c r="E18" i="32" s="1"/>
  <c r="D18" i="32"/>
  <c r="X19" i="32"/>
  <c r="E19" i="32" s="1"/>
  <c r="X15" i="32"/>
  <c r="E15" i="32" s="1"/>
  <c r="X16" i="32"/>
  <c r="E16" i="32" s="1"/>
  <c r="D17" i="32"/>
  <c r="D23" i="32" s="1"/>
  <c r="X4" i="31"/>
  <c r="E4" i="31" s="1"/>
  <c r="X18" i="31"/>
  <c r="E18" i="31" s="1"/>
  <c r="X16" i="31"/>
  <c r="E16" i="31" s="1"/>
  <c r="D16" i="31"/>
  <c r="X17" i="31"/>
  <c r="E17" i="31" s="1"/>
  <c r="F13" i="36"/>
  <c r="F23" i="34"/>
  <c r="X5" i="33"/>
  <c r="E5" i="33" s="1"/>
  <c r="X7" i="33"/>
  <c r="E7" i="33" s="1"/>
  <c r="X9" i="33"/>
  <c r="E9" i="33" s="1"/>
  <c r="D6" i="33"/>
  <c r="F13" i="33"/>
  <c r="X13" i="33"/>
  <c r="E13" i="33" s="1"/>
  <c r="D18" i="33"/>
  <c r="X18" i="33"/>
  <c r="E18" i="33" s="1"/>
  <c r="F23" i="33"/>
  <c r="D23" i="33"/>
  <c r="X8" i="33"/>
  <c r="E8" i="33" s="1"/>
  <c r="F12" i="33"/>
  <c r="X12" i="33"/>
  <c r="E12" i="33" s="1"/>
  <c r="X19" i="33"/>
  <c r="E19" i="33" s="1"/>
  <c r="X21" i="33"/>
  <c r="E21" i="33" s="1"/>
  <c r="X17" i="33"/>
  <c r="E17" i="33" s="1"/>
  <c r="X11" i="33"/>
  <c r="E11" i="33" s="1"/>
  <c r="X16" i="33"/>
  <c r="E16" i="33" s="1"/>
  <c r="X15" i="33"/>
  <c r="E15" i="33" s="1"/>
  <c r="X4" i="32"/>
  <c r="E4" i="32" s="1"/>
  <c r="X10" i="32"/>
  <c r="E10" i="32" s="1"/>
  <c r="X21" i="32"/>
  <c r="E21" i="32" s="1"/>
  <c r="X6" i="32"/>
  <c r="E6" i="32" s="1"/>
  <c r="X22" i="32"/>
  <c r="E22" i="32" s="1"/>
  <c r="X20" i="32"/>
  <c r="E20" i="32" s="1"/>
  <c r="X9" i="32"/>
  <c r="E9" i="32" s="1"/>
  <c r="X7" i="32"/>
  <c r="E7" i="32" s="1"/>
  <c r="X5" i="32"/>
  <c r="E5" i="32" s="1"/>
  <c r="X14" i="32"/>
  <c r="E14" i="32" s="1"/>
  <c r="X8" i="32"/>
  <c r="E8" i="32" s="1"/>
  <c r="F13" i="32"/>
  <c r="X13" i="32"/>
  <c r="E13" i="32" s="1"/>
  <c r="F14" i="32"/>
  <c r="X12" i="32"/>
  <c r="E12" i="32" s="1"/>
  <c r="X11" i="32"/>
  <c r="E11" i="32" s="1"/>
  <c r="F8" i="31"/>
  <c r="X8" i="31"/>
  <c r="E8" i="31" s="1"/>
  <c r="D23" i="31"/>
  <c r="X20" i="31"/>
  <c r="E20" i="31" s="1"/>
  <c r="X14" i="31"/>
  <c r="E14" i="31" s="1"/>
  <c r="X6" i="31"/>
  <c r="E6" i="31" s="1"/>
  <c r="X19" i="31"/>
  <c r="E19" i="31" s="1"/>
  <c r="X21" i="31"/>
  <c r="E21" i="31" s="1"/>
  <c r="X5" i="31"/>
  <c r="E5" i="31" s="1"/>
  <c r="F23" i="31"/>
  <c r="X22" i="31"/>
  <c r="E22" i="31" s="1"/>
  <c r="F7" i="31"/>
  <c r="X7" i="31"/>
  <c r="E7" i="31" s="1"/>
  <c r="D15" i="31"/>
  <c r="X15" i="31"/>
  <c r="E15" i="31" s="1"/>
  <c r="X9" i="31"/>
  <c r="E9" i="31" s="1"/>
  <c r="X10" i="31"/>
  <c r="E10" i="31" s="1"/>
  <c r="X11" i="31"/>
  <c r="E11" i="31" s="1"/>
  <c r="X12" i="31"/>
  <c r="E12" i="31" s="1"/>
  <c r="X13" i="31"/>
  <c r="E13" i="31" s="1"/>
  <c r="G55" i="10"/>
  <c r="G64" i="10"/>
  <c r="G63" i="10"/>
  <c r="G62" i="10"/>
  <c r="G44" i="10"/>
  <c r="G61" i="10"/>
  <c r="D44" i="10"/>
  <c r="G58" i="10"/>
  <c r="G57" i="10"/>
  <c r="G46" i="10"/>
  <c r="G45" i="10"/>
  <c r="G38" i="10"/>
  <c r="G47" i="10"/>
  <c r="G43" i="10"/>
  <c r="G42" i="10"/>
  <c r="G41" i="10"/>
  <c r="G40" i="10"/>
  <c r="D73" i="10"/>
  <c r="D81" i="10"/>
  <c r="D80" i="10"/>
  <c r="D79" i="10"/>
  <c r="D78" i="10"/>
  <c r="D77" i="10"/>
  <c r="D76" i="10"/>
  <c r="D75" i="10"/>
  <c r="D74" i="10"/>
  <c r="D47" i="10"/>
  <c r="D45" i="10"/>
  <c r="D43" i="10"/>
  <c r="D42" i="10"/>
  <c r="D41" i="10"/>
  <c r="D40" i="10"/>
  <c r="D39" i="10"/>
  <c r="D55" i="10"/>
  <c r="D62" i="10"/>
  <c r="D61" i="10"/>
  <c r="D60" i="10"/>
  <c r="D59" i="10"/>
  <c r="D58" i="10"/>
  <c r="D57" i="10"/>
  <c r="O46" i="13"/>
  <c r="N46" i="13"/>
  <c r="V11" i="13"/>
  <c r="U9" i="13"/>
  <c r="V17" i="13"/>
  <c r="V16" i="13"/>
  <c r="V15" i="13"/>
  <c r="V9" i="13"/>
  <c r="V18" i="13"/>
  <c r="V14" i="13"/>
  <c r="V13" i="13"/>
  <c r="V12" i="13"/>
  <c r="U10" i="13"/>
  <c r="U13" i="13"/>
  <c r="U17" i="13"/>
  <c r="U15" i="13"/>
  <c r="U14" i="13"/>
  <c r="U16" i="13"/>
  <c r="U18" i="13"/>
  <c r="U12" i="13"/>
  <c r="U11" i="13"/>
  <c r="G27" i="32" l="1"/>
  <c r="J33" i="32"/>
  <c r="M34" i="32"/>
  <c r="M33" i="32"/>
  <c r="M31" i="32"/>
  <c r="M36" i="32"/>
  <c r="M27" i="32"/>
  <c r="M28" i="32"/>
  <c r="M35" i="32"/>
  <c r="M29" i="32"/>
  <c r="G28" i="32"/>
  <c r="G33" i="32"/>
  <c r="G31" i="32"/>
  <c r="G29" i="32"/>
  <c r="G36" i="32"/>
  <c r="G34" i="32"/>
  <c r="G35" i="32"/>
  <c r="G32" i="32"/>
  <c r="J28" i="32"/>
  <c r="J35" i="32"/>
  <c r="G31" i="31"/>
  <c r="G36" i="31"/>
  <c r="M30" i="31"/>
  <c r="M27" i="31"/>
  <c r="M34" i="31"/>
  <c r="M36" i="31"/>
  <c r="E23" i="33"/>
  <c r="F23" i="32"/>
  <c r="E23" i="32"/>
  <c r="E23" i="31"/>
  <c r="M29" i="31"/>
  <c r="J35" i="31"/>
  <c r="G32" i="31"/>
  <c r="O35" i="31"/>
  <c r="I34" i="31"/>
  <c r="O28" i="31"/>
  <c r="G66" i="10"/>
  <c r="G67" i="10" s="1"/>
  <c r="G68" i="10" s="1"/>
  <c r="G69" i="10" s="1"/>
  <c r="G49" i="10"/>
  <c r="G50" i="10" s="1"/>
  <c r="G51" i="10" s="1"/>
  <c r="G52" i="10" s="1"/>
  <c r="D49" i="10"/>
  <c r="D50" i="10" s="1"/>
  <c r="D51" i="10" s="1"/>
  <c r="D52" i="10" s="1"/>
  <c r="D83" i="10"/>
  <c r="D84" i="10" s="1"/>
  <c r="D85" i="10" s="1"/>
  <c r="D86" i="10" s="1"/>
  <c r="D64" i="10"/>
  <c r="D65" i="10" s="1"/>
  <c r="D66" i="10" s="1"/>
  <c r="D67" i="10" s="1"/>
  <c r="V20" i="13"/>
  <c r="V21" i="13" s="1"/>
  <c r="G30" i="32" l="1"/>
  <c r="J27" i="32"/>
  <c r="V35" i="31"/>
  <c r="J29" i="32"/>
  <c r="Y29" i="31"/>
  <c r="I33" i="32"/>
  <c r="J30" i="32"/>
  <c r="L36" i="32"/>
  <c r="J32" i="32"/>
  <c r="J31" i="32"/>
  <c r="J34" i="32"/>
  <c r="J36" i="32"/>
  <c r="I34" i="32"/>
  <c r="O34" i="32"/>
  <c r="AA34" i="31" s="1"/>
  <c r="M30" i="32"/>
  <c r="Y30" i="31" s="1"/>
  <c r="U34" i="31"/>
  <c r="L28" i="32"/>
  <c r="Y36" i="31"/>
  <c r="M32" i="32"/>
  <c r="I30" i="32"/>
  <c r="I32" i="32"/>
  <c r="L29" i="32"/>
  <c r="L31" i="32"/>
  <c r="S32" i="31"/>
  <c r="S36" i="31"/>
  <c r="L33" i="32"/>
  <c r="I27" i="32"/>
  <c r="N31" i="32"/>
  <c r="N29" i="32"/>
  <c r="N27" i="32"/>
  <c r="N34" i="32"/>
  <c r="N32" i="32"/>
  <c r="N30" i="32"/>
  <c r="N28" i="32"/>
  <c r="N35" i="32"/>
  <c r="N33" i="32"/>
  <c r="N36" i="32"/>
  <c r="O27" i="32"/>
  <c r="O31" i="32"/>
  <c r="O36" i="32"/>
  <c r="I36" i="32"/>
  <c r="L32" i="32"/>
  <c r="O28" i="32"/>
  <c r="AA28" i="31" s="1"/>
  <c r="L35" i="32"/>
  <c r="Y34" i="31"/>
  <c r="L34" i="32"/>
  <c r="O30" i="32"/>
  <c r="AA30" i="31" s="1"/>
  <c r="H30" i="32"/>
  <c r="H28" i="32"/>
  <c r="H35" i="32"/>
  <c r="H33" i="32"/>
  <c r="H31" i="32"/>
  <c r="H29" i="32"/>
  <c r="H36" i="32"/>
  <c r="H27" i="32"/>
  <c r="H34" i="32"/>
  <c r="H32" i="32"/>
  <c r="K35" i="32"/>
  <c r="K33" i="32"/>
  <c r="K29" i="32"/>
  <c r="K27" i="32"/>
  <c r="K32" i="32"/>
  <c r="K30" i="32"/>
  <c r="K28" i="32"/>
  <c r="K31" i="32"/>
  <c r="K34" i="32"/>
  <c r="I29" i="32"/>
  <c r="I31" i="32"/>
  <c r="I28" i="32"/>
  <c r="I35" i="32"/>
  <c r="O35" i="32"/>
  <c r="AA35" i="31" s="1"/>
  <c r="Y27" i="31"/>
  <c r="L27" i="32"/>
  <c r="O32" i="32"/>
  <c r="S31" i="31"/>
  <c r="O33" i="32"/>
  <c r="L30" i="32"/>
  <c r="O29" i="32"/>
  <c r="O27" i="31"/>
  <c r="M28" i="31"/>
  <c r="Y28" i="31" s="1"/>
  <c r="I36" i="31"/>
  <c r="M35" i="31"/>
  <c r="Y35" i="31" s="1"/>
  <c r="L30" i="31"/>
  <c r="J28" i="31"/>
  <c r="V28" i="31" s="1"/>
  <c r="J33" i="31"/>
  <c r="V33" i="31" s="1"/>
  <c r="I31" i="31"/>
  <c r="U31" i="31" s="1"/>
  <c r="N33" i="31"/>
  <c r="I33" i="31"/>
  <c r="U33" i="31" s="1"/>
  <c r="J31" i="31"/>
  <c r="V31" i="31" s="1"/>
  <c r="I35" i="31"/>
  <c r="O29" i="31"/>
  <c r="K28" i="31"/>
  <c r="N29" i="31"/>
  <c r="J30" i="31"/>
  <c r="I27" i="31"/>
  <c r="J32" i="31"/>
  <c r="M33" i="31"/>
  <c r="Y33" i="31" s="1"/>
  <c r="G34" i="31"/>
  <c r="S34" i="31" s="1"/>
  <c r="L27" i="31"/>
  <c r="O32" i="31"/>
  <c r="H33" i="31"/>
  <c r="K32" i="31"/>
  <c r="G29" i="31"/>
  <c r="S29" i="31" s="1"/>
  <c r="O34" i="31"/>
  <c r="O33" i="31"/>
  <c r="J36" i="31"/>
  <c r="I28" i="31"/>
  <c r="M32" i="31"/>
  <c r="M31" i="31"/>
  <c r="Y31" i="31" s="1"/>
  <c r="G28" i="31"/>
  <c r="S28" i="31" s="1"/>
  <c r="K27" i="31"/>
  <c r="N31" i="31"/>
  <c r="L36" i="31"/>
  <c r="H27" i="31"/>
  <c r="G33" i="31"/>
  <c r="S33" i="31" s="1"/>
  <c r="N34" i="31"/>
  <c r="O36" i="31"/>
  <c r="L29" i="31"/>
  <c r="X29" i="31" s="1"/>
  <c r="H28" i="31"/>
  <c r="G27" i="31"/>
  <c r="S27" i="31" s="1"/>
  <c r="K31" i="31"/>
  <c r="L32" i="31"/>
  <c r="H35" i="31"/>
  <c r="H32" i="31"/>
  <c r="N35" i="31"/>
  <c r="H31" i="31"/>
  <c r="N32" i="31"/>
  <c r="H29" i="31"/>
  <c r="N30" i="31"/>
  <c r="G30" i="31"/>
  <c r="K30" i="31"/>
  <c r="O31" i="31"/>
  <c r="L33" i="31"/>
  <c r="J29" i="31"/>
  <c r="V29" i="31" s="1"/>
  <c r="G35" i="31"/>
  <c r="S35" i="31" s="1"/>
  <c r="K29" i="31"/>
  <c r="O30" i="31"/>
  <c r="L31" i="31"/>
  <c r="J34" i="31"/>
  <c r="V34" i="31" s="1"/>
  <c r="K35" i="31"/>
  <c r="I32" i="31"/>
  <c r="L28" i="31"/>
  <c r="H36" i="31"/>
  <c r="H34" i="31"/>
  <c r="K36" i="31"/>
  <c r="N36" i="31"/>
  <c r="K34" i="31"/>
  <c r="I30" i="31"/>
  <c r="L35" i="31"/>
  <c r="H30" i="31"/>
  <c r="L34" i="31"/>
  <c r="N28" i="31"/>
  <c r="K33" i="31"/>
  <c r="I29" i="31"/>
  <c r="U20" i="13"/>
  <c r="U21" i="13" s="1"/>
  <c r="S30" i="31" l="1"/>
  <c r="V36" i="31"/>
  <c r="Z36" i="31"/>
  <c r="AA29" i="31"/>
  <c r="AA33" i="31"/>
  <c r="AA32" i="31"/>
  <c r="AA36" i="31"/>
  <c r="AA31" i="31"/>
  <c r="Z29" i="31"/>
  <c r="V32" i="31"/>
  <c r="W27" i="31"/>
  <c r="Z32" i="31"/>
  <c r="X28" i="31"/>
  <c r="V30" i="31"/>
  <c r="W29" i="31"/>
  <c r="X36" i="31"/>
  <c r="U30" i="31"/>
  <c r="Z34" i="31"/>
  <c r="T33" i="31"/>
  <c r="W34" i="31"/>
  <c r="W30" i="31"/>
  <c r="Z27" i="31"/>
  <c r="W36" i="31"/>
  <c r="Z30" i="31"/>
  <c r="X30" i="31"/>
  <c r="Z31" i="31"/>
  <c r="U27" i="31"/>
  <c r="U32" i="31"/>
  <c r="X35" i="31"/>
  <c r="X27" i="31"/>
  <c r="T29" i="31"/>
  <c r="W35" i="31"/>
  <c r="X31" i="31"/>
  <c r="X33" i="31"/>
  <c r="Y32" i="31"/>
  <c r="X32" i="31"/>
  <c r="W33" i="31"/>
  <c r="T27" i="31"/>
  <c r="W28" i="31"/>
  <c r="U29" i="31"/>
  <c r="W31" i="31"/>
  <c r="T36" i="31"/>
  <c r="Z35" i="31"/>
  <c r="AA27" i="31"/>
  <c r="T32" i="31"/>
  <c r="U35" i="31"/>
  <c r="Z28" i="31"/>
  <c r="T34" i="31"/>
  <c r="U36" i="31"/>
  <c r="T31" i="31"/>
  <c r="T35" i="31"/>
  <c r="U28" i="31"/>
  <c r="X34" i="31"/>
  <c r="T28" i="31"/>
  <c r="T30" i="31"/>
  <c r="W32" i="31"/>
  <c r="Z33" i="31"/>
</calcChain>
</file>

<file path=xl/sharedStrings.xml><?xml version="1.0" encoding="utf-8"?>
<sst xmlns="http://schemas.openxmlformats.org/spreadsheetml/2006/main" count="628" uniqueCount="219">
  <si>
    <t>genealogy</t>
  </si>
  <si>
    <t>Father</t>
  </si>
  <si>
    <t>Son</t>
  </si>
  <si>
    <t>Age of father at sons birth</t>
  </si>
  <si>
    <t>total age of father</t>
  </si>
  <si>
    <t>Adam</t>
  </si>
  <si>
    <t>Seth</t>
  </si>
  <si>
    <t>Enosh</t>
  </si>
  <si>
    <t>Kenan</t>
  </si>
  <si>
    <t>Mahalalel</t>
  </si>
  <si>
    <t>Jared</t>
  </si>
  <si>
    <t>Enoch</t>
  </si>
  <si>
    <t>Methuselah</t>
  </si>
  <si>
    <t>Lamech</t>
  </si>
  <si>
    <t>Noah</t>
  </si>
  <si>
    <t>Shem</t>
  </si>
  <si>
    <t>Actual ages</t>
  </si>
  <si>
    <t>digit of 1s column</t>
  </si>
  <si>
    <t>digit of 10s column</t>
  </si>
  <si>
    <t>digit of 100s column</t>
  </si>
  <si>
    <t>zeros</t>
  </si>
  <si>
    <t>digits used</t>
  </si>
  <si>
    <t>Arpachshad</t>
  </si>
  <si>
    <t>Shelah</t>
  </si>
  <si>
    <t>Eber</t>
  </si>
  <si>
    <t>Peleg</t>
  </si>
  <si>
    <t>Reu</t>
  </si>
  <si>
    <t>Serug</t>
  </si>
  <si>
    <t>Nahor</t>
  </si>
  <si>
    <t>Terah</t>
  </si>
  <si>
    <t>Abram</t>
  </si>
  <si>
    <t>total</t>
  </si>
  <si>
    <t>Name</t>
  </si>
  <si>
    <t>W-B 62</t>
  </si>
  <si>
    <t>W-B 444</t>
  </si>
  <si>
    <t>Berossos</t>
  </si>
  <si>
    <t>Alulim</t>
  </si>
  <si>
    <t>Alalgar</t>
  </si>
  <si>
    <t>Emmenluanna</t>
  </si>
  <si>
    <t>Emmengalanna</t>
  </si>
  <si>
    <t>… kidunnu</t>
  </si>
  <si>
    <t>… alimma</t>
  </si>
  <si>
    <t>Evedoragxos</t>
  </si>
  <si>
    <t>Ammemon</t>
  </si>
  <si>
    <t>Dumuzi</t>
  </si>
  <si>
    <t>Ensipazianna</t>
  </si>
  <si>
    <t>Enmenduranna</t>
  </si>
  <si>
    <t>Ubartutu</t>
  </si>
  <si>
    <t>Ziusudra</t>
  </si>
  <si>
    <t>TOTAL</t>
  </si>
  <si>
    <t>Or</t>
  </si>
  <si>
    <r>
      <t>60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× [120 + 7]</t>
    </r>
  </si>
  <si>
    <r>
      <t>60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× [60 + 7]</t>
    </r>
  </si>
  <si>
    <r>
      <t>60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× 120</t>
    </r>
  </si>
  <si>
    <r>
      <t>(60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× 120) + (7 × 60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</si>
  <si>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r>
      <t>60</t>
    </r>
    <r>
      <rPr>
        <vertAlign val="super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+ (7 × 60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</si>
  <si>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r>
      <t>60</t>
    </r>
    <r>
      <rPr>
        <vertAlign val="super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× 2</t>
    </r>
  </si>
  <si>
    <t>120 šar* + 7 šar</t>
  </si>
  <si>
    <t>1 great šar + 7 šar</t>
  </si>
  <si>
    <t>120 šar</t>
  </si>
  <si>
    <t>excluding calculated values</t>
  </si>
  <si>
    <t>calc</t>
  </si>
  <si>
    <t>time unit</t>
  </si>
  <si>
    <t>Rehoboam</t>
  </si>
  <si>
    <t>years</t>
  </si>
  <si>
    <t>Abijah/Abijam</t>
  </si>
  <si>
    <t>Asa</t>
  </si>
  <si>
    <t>REFERENCE https://www.esv.org/resources/esv-global-study-bible/chart-11-03a/</t>
  </si>
  <si>
    <t>King</t>
  </si>
  <si>
    <t>Jehoshaphat</t>
  </si>
  <si>
    <t>Jehoram/Joram</t>
  </si>
  <si>
    <t>Ahaziah</t>
  </si>
  <si>
    <t>Athaliah (Q.)</t>
  </si>
  <si>
    <t>Joash/Jehoash</t>
  </si>
  <si>
    <t>Amaziah</t>
  </si>
  <si>
    <t>Uzziah/Azariah</t>
  </si>
  <si>
    <t>Jotham</t>
  </si>
  <si>
    <t>Ahaz</t>
  </si>
  <si>
    <t>Hezekiah</t>
  </si>
  <si>
    <t>Manasseh</t>
  </si>
  <si>
    <t>Amon</t>
  </si>
  <si>
    <t>Josiah</t>
  </si>
  <si>
    <t>Jehoahaz</t>
  </si>
  <si>
    <t>Jehoiakim</t>
  </si>
  <si>
    <t>Jehoiachin/Jeconiah</t>
  </si>
  <si>
    <t>Zedekiah</t>
  </si>
  <si>
    <t>Jeroboam I</t>
  </si>
  <si>
    <t>Nadab</t>
  </si>
  <si>
    <t>Baasha</t>
  </si>
  <si>
    <t>Elah</t>
  </si>
  <si>
    <t>Zimri</t>
  </si>
  <si>
    <t>Omri</t>
  </si>
  <si>
    <t>Ahab</t>
  </si>
  <si>
    <t>Joram/Jehoram</t>
  </si>
  <si>
    <t>Jehu</t>
  </si>
  <si>
    <t>Jeroboam II</t>
  </si>
  <si>
    <t>Zechariah</t>
  </si>
  <si>
    <t>Shallum</t>
  </si>
  <si>
    <t>Menahem</t>
  </si>
  <si>
    <t>Pekahiah</t>
  </si>
  <si>
    <t>Pekah</t>
  </si>
  <si>
    <t>Hoshea</t>
  </si>
  <si>
    <t>months</t>
  </si>
  <si>
    <t>days</t>
  </si>
  <si>
    <t>1's column digit</t>
  </si>
  <si>
    <t>stated</t>
  </si>
  <si>
    <t>calc.</t>
  </si>
  <si>
    <t>Number for reign</t>
  </si>
  <si>
    <t>divisible by 5?</t>
  </si>
  <si>
    <t>Israel</t>
  </si>
  <si>
    <t>Judah</t>
  </si>
  <si>
    <t>All</t>
  </si>
  <si>
    <t>10's column digit</t>
  </si>
  <si>
    <t>Abraham</t>
  </si>
  <si>
    <t>Isaac</t>
  </si>
  <si>
    <t>Jacob</t>
  </si>
  <si>
    <t>Moses</t>
  </si>
  <si>
    <t>Joshua</t>
  </si>
  <si>
    <t>Calc.</t>
  </si>
  <si>
    <t>MT</t>
  </si>
  <si>
    <t>LXX</t>
  </si>
  <si>
    <t>SP</t>
  </si>
  <si>
    <t>mean</t>
  </si>
  <si>
    <t>total variance</t>
  </si>
  <si>
    <t>standard deviation</t>
  </si>
  <si>
    <t>Coefficient of variation</t>
  </si>
  <si>
    <t>Person</t>
  </si>
  <si>
    <t>Birth (AM)</t>
  </si>
  <si>
    <t>Birth (BC)</t>
  </si>
  <si>
    <t>Generation</t>
  </si>
  <si>
    <t>Lifespan</t>
  </si>
  <si>
    <t>Arphaxad</t>
  </si>
  <si>
    <t>Salah</t>
  </si>
  <si>
    <t>Levi</t>
  </si>
  <si>
    <t>Kohath</t>
  </si>
  <si>
    <t>--</t>
  </si>
  <si>
    <t>Amram</t>
  </si>
  <si>
    <t>David</t>
  </si>
  <si>
    <t>Jehoram</t>
  </si>
  <si>
    <t>Kenon</t>
  </si>
  <si>
    <t>Mahalel</t>
  </si>
  <si>
    <t>Methusaleh</t>
  </si>
  <si>
    <t>Cainan</t>
  </si>
  <si>
    <t>https://en.wikipedia.org/wiki/Family_tree_of_Japanese_monarchs</t>
  </si>
  <si>
    <t>birth year</t>
  </si>
  <si>
    <t>death year</t>
  </si>
  <si>
    <t>parenting age of next person</t>
  </si>
  <si>
    <t>lifespan</t>
  </si>
  <si>
    <t>Hirohito</t>
  </si>
  <si>
    <t>Yoshihito</t>
  </si>
  <si>
    <t>Mutsuhito</t>
  </si>
  <si>
    <t>Osahito</t>
  </si>
  <si>
    <t>Ayahito</t>
  </si>
  <si>
    <t>Morohito</t>
  </si>
  <si>
    <t>Sukehito shinnō</t>
  </si>
  <si>
    <t>Naohito shinnō</t>
  </si>
  <si>
    <t>Asahito</t>
  </si>
  <si>
    <t>Satohito</t>
  </si>
  <si>
    <t>Kokohito</t>
  </si>
  <si>
    <t>Kazuhito</t>
  </si>
  <si>
    <t>Prince Masahito</t>
  </si>
  <si>
    <t>Michihito</t>
  </si>
  <si>
    <t>Tomohito</t>
  </si>
  <si>
    <t>Katsuhito</t>
  </si>
  <si>
    <t>Fusahito</t>
  </si>
  <si>
    <t>Hikohito</t>
  </si>
  <si>
    <t>Sadafusa shinnō</t>
  </si>
  <si>
    <t xml:space="preserve">https://en.wikipedia.org/wiki/Family_tree_of_French_monarchs </t>
  </si>
  <si>
    <t>Louis Philippe 1</t>
  </si>
  <si>
    <t>Louis Philippe 2</t>
  </si>
  <si>
    <t>Louis</t>
  </si>
  <si>
    <t>Philippe 2</t>
  </si>
  <si>
    <t>Philippe 1</t>
  </si>
  <si>
    <t>Louis 8</t>
  </si>
  <si>
    <t>Henry 4</t>
  </si>
  <si>
    <t>Antoine</t>
  </si>
  <si>
    <t>Charles</t>
  </si>
  <si>
    <t>Francis</t>
  </si>
  <si>
    <t>John 8</t>
  </si>
  <si>
    <t>John 1</t>
  </si>
  <si>
    <t>James 1</t>
  </si>
  <si>
    <t>Louis 1</t>
  </si>
  <si>
    <t>Robert</t>
  </si>
  <si>
    <t>Louis 9</t>
  </si>
  <si>
    <t>https://britroyals.com/royaltree.asp</t>
  </si>
  <si>
    <t>Elizabeth 2</t>
  </si>
  <si>
    <t>George 6</t>
  </si>
  <si>
    <t>George 5</t>
  </si>
  <si>
    <t>Edward 7</t>
  </si>
  <si>
    <t>Victoria</t>
  </si>
  <si>
    <t>Edward DoK</t>
  </si>
  <si>
    <t>George 3</t>
  </si>
  <si>
    <t>Frederick Hano.</t>
  </si>
  <si>
    <t>George 2</t>
  </si>
  <si>
    <t>George 1</t>
  </si>
  <si>
    <t>Sophia Hano.</t>
  </si>
  <si>
    <t>Elizabeth Stuart</t>
  </si>
  <si>
    <t>James 6 Sco.</t>
  </si>
  <si>
    <t>Mary QoS</t>
  </si>
  <si>
    <t>James 5 Sco.</t>
  </si>
  <si>
    <t>Margaret Tudor</t>
  </si>
  <si>
    <t>Henry 7</t>
  </si>
  <si>
    <t>Edmond Tudor</t>
  </si>
  <si>
    <t>Owen Tudor</t>
  </si>
  <si>
    <t>age when descendant born</t>
  </si>
  <si>
    <t>years remaining</t>
  </si>
  <si>
    <t>Parent</t>
  </si>
  <si>
    <t>total age of parent</t>
  </si>
  <si>
    <t>*father died before he was born</t>
  </si>
  <si>
    <t>no calc</t>
  </si>
  <si>
    <t>years after sons birth</t>
  </si>
  <si>
    <t>All 3 lists combined</t>
  </si>
  <si>
    <t>Y_prior_data</t>
  </si>
  <si>
    <t>factorial</t>
  </si>
  <si>
    <t>1/7</t>
  </si>
  <si>
    <t>6/7^</t>
  </si>
  <si>
    <t>product</t>
  </si>
  <si>
    <t>final product</t>
  </si>
  <si>
    <t>1 in N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</si>
</sst>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76" formatCode="0.0000000000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sz val="11"/>
      <color rgb="FF424547"/>
      <name val="Arial"/>
      <family val="2"/>
    </font>
    <font>
      <sz val="11"/>
      <color rgb="FF424547"/>
      <name val="Arial"/>
      <family val="2"/>
    </font>
    <font>
      <sz val="10"/>
      <color rgb="FF424547"/>
      <name val="Arial"/>
      <family val="2"/>
    </font>
    <font>
      <b/>
      <sz val="11"/>
      <color theme="1"/>
      <name val="Aptos Narrow"/>
      <family val="2"/>
      <scheme val="minor"/>
    </font>
    <font>
      <sz val="9.6"/>
      <color rgb="FF374151"/>
      <name val="Inter"/>
    </font>
    <font>
      <sz val="9.6"/>
      <color rgb="FF111827"/>
      <name val="Inter"/>
    </font>
    <font>
      <u/>
      <sz val="11"/>
      <color theme="10"/>
      <name val="Aptos Narrow"/>
      <family val="2"/>
      <scheme val="minor"/>
    </font>
    <font>
      <sz val="9"/>
      <color rgb="FF202122"/>
      <name val="Arial"/>
      <family val="2"/>
    </font>
    <font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DCE0E3"/>
      </left>
      <right style="medium">
        <color rgb="FFDCE0E3"/>
      </right>
      <top style="medium">
        <color rgb="FFDCE0E3"/>
      </top>
      <bottom style="medium">
        <color rgb="FFDCE0E3"/>
      </bottom>
      <diagonal/>
    </border>
    <border>
      <left style="medium">
        <color rgb="FFDCE0E3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9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0" fillId="0" borderId="0" xfId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16" fontId="0" fillId="0" borderId="0" xfId="0" quotePrefix="1" applyNumberFormat="1"/>
    <xf numFmtId="0" fontId="0" fillId="0" borderId="0" xfId="0" quotePrefix="1"/>
    <xf numFmtId="176" fontId="0" fillId="0" borderId="0" xfId="0" applyNumberFormat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Genesis 5_11 patriach</a:t>
            </a:r>
            <a:r>
              <a:rPr lang="en-AU" baseline="0"/>
              <a:t> total 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Fig_1A_and_1D!$B$4:$B$22</c:f>
              <c:strCache>
                <c:ptCount val="19"/>
                <c:pt idx="0">
                  <c:v>Elizabeth 2</c:v>
                </c:pt>
                <c:pt idx="1">
                  <c:v>George 6</c:v>
                </c:pt>
                <c:pt idx="2">
                  <c:v>George 5</c:v>
                </c:pt>
                <c:pt idx="3">
                  <c:v>Edward 7</c:v>
                </c:pt>
                <c:pt idx="4">
                  <c:v>Victoria</c:v>
                </c:pt>
                <c:pt idx="5">
                  <c:v>Edward DoK</c:v>
                </c:pt>
                <c:pt idx="6">
                  <c:v>George 3</c:v>
                </c:pt>
                <c:pt idx="7">
                  <c:v>Frederick Hano.</c:v>
                </c:pt>
                <c:pt idx="8">
                  <c:v>George 2</c:v>
                </c:pt>
                <c:pt idx="9">
                  <c:v>George 1</c:v>
                </c:pt>
                <c:pt idx="10">
                  <c:v>Sophia Hano.</c:v>
                </c:pt>
                <c:pt idx="11">
                  <c:v>Elizabeth Stuart</c:v>
                </c:pt>
                <c:pt idx="12">
                  <c:v>James 6 Sco.</c:v>
                </c:pt>
                <c:pt idx="13">
                  <c:v>Mary QoS</c:v>
                </c:pt>
                <c:pt idx="14">
                  <c:v>James 5 Sco.</c:v>
                </c:pt>
                <c:pt idx="15">
                  <c:v>Margaret Tudor</c:v>
                </c:pt>
                <c:pt idx="16">
                  <c:v>Henry 7</c:v>
                </c:pt>
                <c:pt idx="17">
                  <c:v>Edmond Tudor</c:v>
                </c:pt>
                <c:pt idx="18">
                  <c:v>Owen Tudor</c:v>
                </c:pt>
              </c:strCache>
            </c:strRef>
          </c:cat>
          <c:val>
            <c:numRef>
              <c:f>Fig_1A_and_1D!$F$4:$F$22</c:f>
              <c:numCache>
                <c:formatCode>General</c:formatCode>
                <c:ptCount val="19"/>
                <c:pt idx="0">
                  <c:v>96</c:v>
                </c:pt>
                <c:pt idx="1">
                  <c:v>57</c:v>
                </c:pt>
                <c:pt idx="2">
                  <c:v>71</c:v>
                </c:pt>
                <c:pt idx="3">
                  <c:v>69</c:v>
                </c:pt>
                <c:pt idx="4">
                  <c:v>82</c:v>
                </c:pt>
                <c:pt idx="5">
                  <c:v>53</c:v>
                </c:pt>
                <c:pt idx="6">
                  <c:v>82</c:v>
                </c:pt>
                <c:pt idx="7">
                  <c:v>44</c:v>
                </c:pt>
                <c:pt idx="8">
                  <c:v>77</c:v>
                </c:pt>
                <c:pt idx="9">
                  <c:v>67</c:v>
                </c:pt>
                <c:pt idx="10">
                  <c:v>84</c:v>
                </c:pt>
                <c:pt idx="11">
                  <c:v>66</c:v>
                </c:pt>
                <c:pt idx="12">
                  <c:v>59</c:v>
                </c:pt>
                <c:pt idx="13">
                  <c:v>45</c:v>
                </c:pt>
                <c:pt idx="14">
                  <c:v>30</c:v>
                </c:pt>
                <c:pt idx="15">
                  <c:v>52</c:v>
                </c:pt>
                <c:pt idx="16">
                  <c:v>52</c:v>
                </c:pt>
                <c:pt idx="17">
                  <c:v>25</c:v>
                </c:pt>
                <c:pt idx="18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B-4906-A97F-9A16741C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984"/>
        <c:axId val="1037971504"/>
      </c:barChart>
      <c:catAx>
        <c:axId val="10379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Patriarch</a:t>
                </a:r>
                <a:r>
                  <a:rPr lang="en-AU" baseline="0"/>
                  <a:t> name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504"/>
        <c:crosses val="autoZero"/>
        <c:auto val="1"/>
        <c:lblAlgn val="ctr"/>
        <c:lblOffset val="100"/>
        <c:noMultiLvlLbl val="0"/>
      </c:catAx>
      <c:valAx>
        <c:axId val="1037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Fig_1A_and_1D!$S$27:$S$36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11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C-4351-A7B2-813AAAB9FA7A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Fig_1A_and_1D!$T$27:$T$36</c:f>
              <c:numCache>
                <c:formatCode>General</c:formatCode>
                <c:ptCount val="10"/>
                <c:pt idx="0">
                  <c:v>11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C-4351-A7B2-813AAAB9FA7A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Fig_1A_and_1D!$U$27:$U$36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C-4351-A7B2-813AAAB9F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43613249238919"/>
          <c:y val="5.4107976086322541E-2"/>
          <c:w val="0.26771955613036535"/>
          <c:h val="8.622849227179935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Fig_1A_and_1D!$V$27:$V$36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29</c:v>
                </c:pt>
                <c:pt idx="3">
                  <c:v>18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1-4CC1-8301-00632AF8C952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Fig_1A_and_1D!$W$27:$W$36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18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21-4CC1-8301-00632AF8C952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Fig_1A_and_1D!$X$27:$X$36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13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21-4CC1-8301-00632AF8C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99993959620057"/>
          <c:y val="5.8737605715952171E-2"/>
          <c:w val="0.27154716781685562"/>
          <c:h val="8.622849227179935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Fig_1A_and_1D!$Y$27:$Y$36</c:f>
              <c:numCache>
                <c:formatCode>General</c:formatCode>
                <c:ptCount val="10"/>
                <c:pt idx="0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F-4703-896E-E388EFABC375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Fig_1A_and_1D!$Z$27:$Z$36</c:f>
              <c:numCache>
                <c:formatCode>General</c:formatCode>
                <c:ptCount val="10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F-4703-896E-E388EFABC375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Fig_1A_and_1D!$AA$27:$AA$36</c:f>
              <c:numCache>
                <c:formatCode>General</c:formatCode>
                <c:ptCount val="10"/>
                <c:pt idx="0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F-4703-896E-E388EFAB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967838618446503"/>
          <c:y val="7.2626494604841066E-2"/>
          <c:w val="0.27969284622405172"/>
          <c:h val="7.696923301254010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Fig_1A_and_1D!$G$27:$G$36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5-4155-8A13-7C32B34D370B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Fig_1A_and_1D!$H$27:$H$36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5-4155-8A13-7C32B34D370B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Fig_1A_and_1D!$I$27:$I$36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5-4155-8A13-7C32B34D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063789628586971"/>
          <c:y val="4.021908719743366E-2"/>
          <c:w val="0.30779135608944624"/>
          <c:h val="0.1001173811606882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Fig_1A_and_1D!$J$27:$J$36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8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F-4A6E-9AAA-30EC1C2FE672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Fig_1A_and_1D!$K$27:$K$36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F-4A6E-9AAA-30EC1C2FE672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Fig_1A_and_1D!$L$27:$L$36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2F-4A6E-9AAA-30EC1C2FE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79308781106194"/>
          <c:y val="4.484871682706329E-2"/>
          <c:w val="0.28669321930989378"/>
          <c:h val="9.548775153105862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Fig_1A_and_1D!$M$27:$M$36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4C-B6DA-8B8810FD6DD9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Fig_1A_and_1D!$N$27:$N$36</c:f>
              <c:numCache>
                <c:formatCode>General</c:formatCode>
                <c:ptCount val="10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A-484C-B6DA-8B8810FD6DD9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Fig_1A_and_1D!$F$27:$F$36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Fig_1A_and_1D!$O$27:$O$36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EA-484C-B6DA-8B8810FD6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486541732773326"/>
          <c:y val="4.484871682706329E-2"/>
          <c:w val="0.29861227748424923"/>
          <c:h val="9.085812190142897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Genesis 5_11 patriach</a:t>
            </a:r>
            <a:r>
              <a:rPr lang="en-AU" baseline="0"/>
              <a:t> total 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Fig_1B_decomp!$B$4:$B$22</c:f>
              <c:strCache>
                <c:ptCount val="19"/>
                <c:pt idx="0">
                  <c:v>Louis Philippe 1</c:v>
                </c:pt>
                <c:pt idx="1">
                  <c:v>Louis Philippe 2</c:v>
                </c:pt>
                <c:pt idx="2">
                  <c:v>Louis Philippe 1</c:v>
                </c:pt>
                <c:pt idx="3">
                  <c:v>Louis</c:v>
                </c:pt>
                <c:pt idx="4">
                  <c:v>Philippe 2</c:v>
                </c:pt>
                <c:pt idx="5">
                  <c:v>Philippe 1</c:v>
                </c:pt>
                <c:pt idx="6">
                  <c:v>Louis 8</c:v>
                </c:pt>
                <c:pt idx="7">
                  <c:v>Henry 4</c:v>
                </c:pt>
                <c:pt idx="8">
                  <c:v>Antoine</c:v>
                </c:pt>
                <c:pt idx="9">
                  <c:v>Charles</c:v>
                </c:pt>
                <c:pt idx="10">
                  <c:v>Francis</c:v>
                </c:pt>
                <c:pt idx="11">
                  <c:v>John 8</c:v>
                </c:pt>
                <c:pt idx="12">
                  <c:v>Louis</c:v>
                </c:pt>
                <c:pt idx="13">
                  <c:v>John 1</c:v>
                </c:pt>
                <c:pt idx="14">
                  <c:v>James 1</c:v>
                </c:pt>
                <c:pt idx="15">
                  <c:v>Louis 1</c:v>
                </c:pt>
                <c:pt idx="16">
                  <c:v>Robert</c:v>
                </c:pt>
                <c:pt idx="17">
                  <c:v>Louis 9</c:v>
                </c:pt>
                <c:pt idx="18">
                  <c:v>Louis 8</c:v>
                </c:pt>
              </c:strCache>
            </c:strRef>
          </c:cat>
          <c:val>
            <c:numRef>
              <c:f>Fig_1B_decomp!$F$4:$F$22</c:f>
              <c:numCache>
                <c:formatCode>General</c:formatCode>
                <c:ptCount val="19"/>
                <c:pt idx="0">
                  <c:v>77</c:v>
                </c:pt>
                <c:pt idx="1">
                  <c:v>46</c:v>
                </c:pt>
                <c:pt idx="2">
                  <c:v>60</c:v>
                </c:pt>
                <c:pt idx="3">
                  <c:v>49</c:v>
                </c:pt>
                <c:pt idx="4">
                  <c:v>49</c:v>
                </c:pt>
                <c:pt idx="5">
                  <c:v>61</c:v>
                </c:pt>
                <c:pt idx="6">
                  <c:v>33</c:v>
                </c:pt>
                <c:pt idx="7">
                  <c:v>57</c:v>
                </c:pt>
                <c:pt idx="8">
                  <c:v>44</c:v>
                </c:pt>
                <c:pt idx="9">
                  <c:v>48</c:v>
                </c:pt>
                <c:pt idx="10">
                  <c:v>25</c:v>
                </c:pt>
                <c:pt idx="11">
                  <c:v>52</c:v>
                </c:pt>
                <c:pt idx="12">
                  <c:v>70</c:v>
                </c:pt>
                <c:pt idx="13">
                  <c:v>49</c:v>
                </c:pt>
                <c:pt idx="14">
                  <c:v>43</c:v>
                </c:pt>
                <c:pt idx="15">
                  <c:v>62</c:v>
                </c:pt>
                <c:pt idx="16">
                  <c:v>61</c:v>
                </c:pt>
                <c:pt idx="17">
                  <c:v>56</c:v>
                </c:pt>
                <c:pt idx="1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3-49B9-BFEA-0F0B05409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984"/>
        <c:axId val="1037971504"/>
      </c:barChart>
      <c:catAx>
        <c:axId val="10379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Patriarch</a:t>
                </a:r>
                <a:r>
                  <a:rPr lang="en-AU" baseline="0"/>
                  <a:t> name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504"/>
        <c:crosses val="autoZero"/>
        <c:auto val="1"/>
        <c:lblAlgn val="ctr"/>
        <c:lblOffset val="100"/>
        <c:noMultiLvlLbl val="0"/>
      </c:catAx>
      <c:valAx>
        <c:axId val="1037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Fig_1B_decomp!$G$27:$G$36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3-4AFE-84A9-5C17F7CA8193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Fig_1B_decomp!$H$27:$H$36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3-4AFE-84A9-5C17F7CA8193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Fig_1B_decomp!$I$27:$I$36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3-4AFE-84A9-5C17F7CA8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336204912625221"/>
          <c:y val="3.0959827938174402E-2"/>
          <c:w val="0.3489563356295739"/>
          <c:h val="0.114006270049577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Fig_1B_decomp!$J$27:$J$36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5-4F3B-8E42-BAE357DC7357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Fig_1B_decomp!$K$27:$K$36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5-4F3B-8E42-BAE357DC7357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Fig_1B_decomp!$L$27:$L$36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5-4F3B-8E42-BAE357DC7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571509610047392"/>
          <c:y val="3.5589457567804024E-2"/>
          <c:w val="0.31197733358545354"/>
          <c:h val="9.548775153105862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Fig_1B_decomp!$M$27:$M$36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F-4CA0-84ED-BFAA6974D7B2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Fig_1B_decomp!$N$27:$N$36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BF-4CA0-84ED-BFAA6974D7B2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Fig_1B_decomp!$O$27:$O$36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F-4CA0-84ED-BFAA6974D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09031432228703"/>
          <c:y val="4.9478346456692912E-2"/>
          <c:w val="0.28629175555871617"/>
          <c:h val="9.548775153105862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Genesis 5_11 patriach</a:t>
            </a:r>
            <a:r>
              <a:rPr lang="en-AU" baseline="0"/>
              <a:t> total 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Fig_1C_decomp!$B$4:$B$22</c:f>
              <c:strCache>
                <c:ptCount val="19"/>
                <c:pt idx="0">
                  <c:v>Hirohito</c:v>
                </c:pt>
                <c:pt idx="1">
                  <c:v>Yoshihito</c:v>
                </c:pt>
                <c:pt idx="2">
                  <c:v>Mutsuhito</c:v>
                </c:pt>
                <c:pt idx="3">
                  <c:v>Osahito</c:v>
                </c:pt>
                <c:pt idx="4">
                  <c:v>Ayahito</c:v>
                </c:pt>
                <c:pt idx="5">
                  <c:v>Morohito</c:v>
                </c:pt>
                <c:pt idx="6">
                  <c:v>Sukehito shinnō</c:v>
                </c:pt>
                <c:pt idx="7">
                  <c:v>Naohito shinnō</c:v>
                </c:pt>
                <c:pt idx="8">
                  <c:v>Asahito</c:v>
                </c:pt>
                <c:pt idx="9">
                  <c:v>Satohito</c:v>
                </c:pt>
                <c:pt idx="10">
                  <c:v>Kokohito</c:v>
                </c:pt>
                <c:pt idx="11">
                  <c:v>Kazuhito</c:v>
                </c:pt>
                <c:pt idx="12">
                  <c:v>Prince Masahito</c:v>
                </c:pt>
                <c:pt idx="13">
                  <c:v>Michihito</c:v>
                </c:pt>
                <c:pt idx="14">
                  <c:v>Tomohito</c:v>
                </c:pt>
                <c:pt idx="15">
                  <c:v>Katsuhito</c:v>
                </c:pt>
                <c:pt idx="16">
                  <c:v>Fusahito</c:v>
                </c:pt>
                <c:pt idx="17">
                  <c:v>Hikohito</c:v>
                </c:pt>
                <c:pt idx="18">
                  <c:v>Sadafusa shinnō</c:v>
                </c:pt>
              </c:strCache>
            </c:strRef>
          </c:cat>
          <c:val>
            <c:numRef>
              <c:f>Fig_1C_decomp!$F$4:$F$22</c:f>
              <c:numCache>
                <c:formatCode>General</c:formatCode>
                <c:ptCount val="19"/>
                <c:pt idx="0">
                  <c:v>88</c:v>
                </c:pt>
                <c:pt idx="1">
                  <c:v>47</c:v>
                </c:pt>
                <c:pt idx="2">
                  <c:v>60</c:v>
                </c:pt>
                <c:pt idx="3">
                  <c:v>36</c:v>
                </c:pt>
                <c:pt idx="4">
                  <c:v>46</c:v>
                </c:pt>
                <c:pt idx="5">
                  <c:v>69</c:v>
                </c:pt>
                <c:pt idx="6">
                  <c:v>61</c:v>
                </c:pt>
                <c:pt idx="7">
                  <c:v>49</c:v>
                </c:pt>
                <c:pt idx="8">
                  <c:v>35</c:v>
                </c:pt>
                <c:pt idx="9">
                  <c:v>78</c:v>
                </c:pt>
                <c:pt idx="10">
                  <c:v>84</c:v>
                </c:pt>
                <c:pt idx="11">
                  <c:v>45</c:v>
                </c:pt>
                <c:pt idx="12">
                  <c:v>34</c:v>
                </c:pt>
                <c:pt idx="13">
                  <c:v>76</c:v>
                </c:pt>
                <c:pt idx="14">
                  <c:v>60</c:v>
                </c:pt>
                <c:pt idx="15">
                  <c:v>62</c:v>
                </c:pt>
                <c:pt idx="16">
                  <c:v>58</c:v>
                </c:pt>
                <c:pt idx="17">
                  <c:v>52</c:v>
                </c:pt>
                <c:pt idx="18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E-41B4-90D1-A6489505F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984"/>
        <c:axId val="1037971504"/>
      </c:barChart>
      <c:catAx>
        <c:axId val="10379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Patriarch</a:t>
                </a:r>
                <a:r>
                  <a:rPr lang="en-AU" baseline="0"/>
                  <a:t> name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504"/>
        <c:crosses val="autoZero"/>
        <c:auto val="1"/>
        <c:lblAlgn val="ctr"/>
        <c:lblOffset val="100"/>
        <c:noMultiLvlLbl val="0"/>
      </c:catAx>
      <c:valAx>
        <c:axId val="1037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Fig_1C_decomp!$G$27:$G$36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B-46BD-AA5D-D15E2D290C0B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Fig_1C_decomp!$H$27:$H$36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B-46BD-AA5D-D15E2D290C0B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Fig_1C_decomp!$I$27:$I$36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B-46BD-AA5D-D15E2D290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95324459450487"/>
          <c:y val="5.4107976086322541E-2"/>
          <c:w val="0.30258409035577699"/>
          <c:h val="9.548775153105862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Fig_1C_decomp!$J$27:$J$36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8-4D0F-B655-DB3801113F21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Fig_1C_decomp!$K$27:$K$36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8-4D0F-B655-DB3801113F21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Fig_1C_decomp!$L$27:$L$36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8-4D0F-B655-DB3801113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71856614467817"/>
          <c:y val="4.9478346456692912E-2"/>
          <c:w val="0.2911130462750286"/>
          <c:h val="0.1047470107903178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Fig_1C_decomp!$M$27:$M$36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5-4F79-A8A6-9CC8384B3FA7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Fig_1C_decomp!$N$27:$N$36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5-4F79-A8A6-9CC8384B3FA7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Fig_1C_decomp!$F$27:$F$36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Fig_1C_decomp!$O$27:$O$36</c:f>
              <c:numCache>
                <c:formatCode>General</c:formatCode>
                <c:ptCount val="1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5-4F79-A8A6-9CC8384B3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53954675542044"/>
          <c:y val="4.9478346456692912E-2"/>
          <c:w val="0.31837101552303215"/>
          <c:h val="0.1001173811606882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Genesis 5 patriach</a:t>
            </a:r>
            <a:r>
              <a:rPr lang="en-AU" baseline="0"/>
              <a:t> total 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Fig_2A_decomp!$B$4:$B$13</c:f>
              <c:strCache>
                <c:ptCount val="10"/>
                <c:pt idx="0">
                  <c:v>Adam</c:v>
                </c:pt>
                <c:pt idx="1">
                  <c:v>Seth</c:v>
                </c:pt>
                <c:pt idx="2">
                  <c:v>Enosh</c:v>
                </c:pt>
                <c:pt idx="3">
                  <c:v>Kenan</c:v>
                </c:pt>
                <c:pt idx="4">
                  <c:v>Mahalalel</c:v>
                </c:pt>
                <c:pt idx="5">
                  <c:v>Jared</c:v>
                </c:pt>
                <c:pt idx="6">
                  <c:v>Enoch</c:v>
                </c:pt>
                <c:pt idx="7">
                  <c:v>Methuselah</c:v>
                </c:pt>
                <c:pt idx="8">
                  <c:v>Lamech</c:v>
                </c:pt>
                <c:pt idx="9">
                  <c:v>Noah</c:v>
                </c:pt>
              </c:strCache>
            </c:strRef>
          </c:cat>
          <c:val>
            <c:numRef>
              <c:f>Fig_2A_decomp!$F$4:$F$13</c:f>
              <c:numCache>
                <c:formatCode>General</c:formatCode>
                <c:ptCount val="10"/>
                <c:pt idx="0">
                  <c:v>930</c:v>
                </c:pt>
                <c:pt idx="1">
                  <c:v>912</c:v>
                </c:pt>
                <c:pt idx="2">
                  <c:v>905</c:v>
                </c:pt>
                <c:pt idx="3">
                  <c:v>910</c:v>
                </c:pt>
                <c:pt idx="4">
                  <c:v>895</c:v>
                </c:pt>
                <c:pt idx="5">
                  <c:v>962</c:v>
                </c:pt>
                <c:pt idx="6">
                  <c:v>365</c:v>
                </c:pt>
                <c:pt idx="7">
                  <c:v>969</c:v>
                </c:pt>
                <c:pt idx="8">
                  <c:v>777</c:v>
                </c:pt>
                <c:pt idx="9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B-454E-9BA3-CAAD934CD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984"/>
        <c:axId val="1037971504"/>
      </c:barChart>
      <c:catAx>
        <c:axId val="10379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Patriarch</a:t>
                </a:r>
                <a:r>
                  <a:rPr lang="en-AU" baseline="0"/>
                  <a:t> name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504"/>
        <c:crosses val="autoZero"/>
        <c:auto val="1"/>
        <c:lblAlgn val="ctr"/>
        <c:lblOffset val="100"/>
        <c:noMultiLvlLbl val="0"/>
      </c:catAx>
      <c:valAx>
        <c:axId val="1037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Fig_2A_decomp!$G$29:$G$38</c:f>
              <c:numCache>
                <c:formatCode>General</c:formatCode>
                <c:ptCount val="10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5-4227-A5B6-5A72D740F752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Fig_2A_decomp!$H$29:$H$38</c:f>
              <c:numCache>
                <c:formatCode>General</c:formatCode>
                <c:ptCount val="10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5-4227-A5B6-5A72D740F752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Fig_2A_decomp!$I$29:$I$38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5-4227-A5B6-5A72D740F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939588542418735"/>
          <c:y val="7.4652230971128594E-2"/>
          <c:w val="0.24829154665187222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Fig_2A_decomp!$J$29:$J$38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A-4E6D-8665-0956465654A3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Fig_2A_decomp!$K$29:$K$38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A-4E6D-8665-0956465654A3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Fig_2A_decomp!$L$29:$L$38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2A-4E6D-8665-095646565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205037201419661"/>
          <c:y val="7.928186060075823E-2"/>
          <c:w val="0.24829154665187222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Fig_2A_decomp!$M$29:$M$38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E-47E3-88A3-83251CD399E9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Fig_2A_decomp!$N$29:$N$38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E-47E3-88A3-83251CD399E9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Fig_2A_decomp!$F$29:$F$38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Fig_2A_decomp!$O$29:$O$38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E-47E3-88A3-83251CD39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1029859934185"/>
          <c:y val="7.0022601341498972E-2"/>
          <c:w val="0.24829154665187222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Genesis 5 patriach</a:t>
            </a:r>
            <a:r>
              <a:rPr lang="en-AU" baseline="0"/>
              <a:t> total 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Fig_2B_decomp!$B$4:$B$12</c:f>
              <c:strCache>
                <c:ptCount val="9"/>
                <c:pt idx="0">
                  <c:v>Shem</c:v>
                </c:pt>
                <c:pt idx="1">
                  <c:v>Arpachshad</c:v>
                </c:pt>
                <c:pt idx="2">
                  <c:v>Shelah</c:v>
                </c:pt>
                <c:pt idx="3">
                  <c:v>Eber</c:v>
                </c:pt>
                <c:pt idx="4">
                  <c:v>Peleg</c:v>
                </c:pt>
                <c:pt idx="5">
                  <c:v>Reu</c:v>
                </c:pt>
                <c:pt idx="6">
                  <c:v>Serug</c:v>
                </c:pt>
                <c:pt idx="7">
                  <c:v>Nahor</c:v>
                </c:pt>
                <c:pt idx="8">
                  <c:v>Terah</c:v>
                </c:pt>
              </c:strCache>
            </c:strRef>
          </c:cat>
          <c:val>
            <c:numRef>
              <c:f>Fig_2B_decomp!$F$4:$F$12</c:f>
              <c:numCache>
                <c:formatCode>General</c:formatCode>
                <c:ptCount val="9"/>
                <c:pt idx="0">
                  <c:v>600</c:v>
                </c:pt>
                <c:pt idx="1">
                  <c:v>438</c:v>
                </c:pt>
                <c:pt idx="2">
                  <c:v>433</c:v>
                </c:pt>
                <c:pt idx="3">
                  <c:v>464</c:v>
                </c:pt>
                <c:pt idx="4">
                  <c:v>239</c:v>
                </c:pt>
                <c:pt idx="5">
                  <c:v>239</c:v>
                </c:pt>
                <c:pt idx="6">
                  <c:v>230</c:v>
                </c:pt>
                <c:pt idx="7">
                  <c:v>148</c:v>
                </c:pt>
                <c:pt idx="8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3-4D82-AAF3-7595CCF7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984"/>
        <c:axId val="1037971504"/>
      </c:barChart>
      <c:catAx>
        <c:axId val="10379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Patriarch</a:t>
                </a:r>
                <a:r>
                  <a:rPr lang="en-AU" baseline="0"/>
                  <a:t> name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504"/>
        <c:crosses val="autoZero"/>
        <c:auto val="1"/>
        <c:lblAlgn val="ctr"/>
        <c:lblOffset val="100"/>
        <c:noMultiLvlLbl val="0"/>
      </c:catAx>
      <c:valAx>
        <c:axId val="1037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Fig_2B_decomp!$G$27:$G$36</c:f>
              <c:numCache>
                <c:formatCode>General</c:formatCode>
                <c:ptCount val="10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B-4908-BDF5-BEC95580D7A3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Fig_2B_decomp!$H$27:$H$36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B-4908-BDF5-BEC95580D7A3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Fig_2B_decomp!$I$27:$I$36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B-4908-BDF5-BEC95580D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199972383743227"/>
          <c:y val="7.0022601341498972E-2"/>
          <c:w val="0.25062098221819912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Fig_2B_decomp!$J$27:$J$36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5-450C-98A5-177AE578A829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Fig_2B_decomp!$K$27:$K$36</c:f>
              <c:numCache>
                <c:formatCode>General</c:formatCode>
                <c:ptCount val="10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5-450C-98A5-177AE578A829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Fig_2B_decomp!$L$27:$L$36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5-450C-98A5-177AE578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126380815283364"/>
          <c:y val="6.5392971711869349E-2"/>
          <c:w val="0.24909915336427904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Fig_2B_decomp!$M$27:$M$36</c:f>
              <c:numCache>
                <c:formatCode>General</c:formatCode>
                <c:ptCount val="10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9-498B-A230-1AEBD19C1F9C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Fig_2B_decomp!$N$27:$N$36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9-498B-A230-1AEBD19C1F9C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Fig_2B_decomp!$F$27:$F$36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Fig_2B_decomp!$O$27:$O$36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B9-498B-A230-1AEBD19C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535656378893476"/>
          <c:y val="6.5392971711869349E-2"/>
          <c:w val="0.24782022471910112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Genesis 5_11 patriach</a:t>
            </a:r>
            <a:r>
              <a:rPr lang="en-AU" baseline="0"/>
              <a:t> total ages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Fig_2C_decomp!$B$4:$B$22</c:f>
              <c:strCache>
                <c:ptCount val="19"/>
                <c:pt idx="0">
                  <c:v>Adam</c:v>
                </c:pt>
                <c:pt idx="1">
                  <c:v>Seth</c:v>
                </c:pt>
                <c:pt idx="2">
                  <c:v>Enosh</c:v>
                </c:pt>
                <c:pt idx="3">
                  <c:v>Kenan</c:v>
                </c:pt>
                <c:pt idx="4">
                  <c:v>Mahalalel</c:v>
                </c:pt>
                <c:pt idx="5">
                  <c:v>Jared</c:v>
                </c:pt>
                <c:pt idx="6">
                  <c:v>Enoch</c:v>
                </c:pt>
                <c:pt idx="7">
                  <c:v>Methuselah</c:v>
                </c:pt>
                <c:pt idx="8">
                  <c:v>Lamech</c:v>
                </c:pt>
                <c:pt idx="9">
                  <c:v>Noah</c:v>
                </c:pt>
                <c:pt idx="10">
                  <c:v>Shem</c:v>
                </c:pt>
                <c:pt idx="11">
                  <c:v>Arpachshad</c:v>
                </c:pt>
                <c:pt idx="12">
                  <c:v>Shelah</c:v>
                </c:pt>
                <c:pt idx="13">
                  <c:v>Eber</c:v>
                </c:pt>
                <c:pt idx="14">
                  <c:v>Peleg</c:v>
                </c:pt>
                <c:pt idx="15">
                  <c:v>Reu</c:v>
                </c:pt>
                <c:pt idx="16">
                  <c:v>Serug</c:v>
                </c:pt>
                <c:pt idx="17">
                  <c:v>Nahor</c:v>
                </c:pt>
                <c:pt idx="18">
                  <c:v>Terah</c:v>
                </c:pt>
              </c:strCache>
            </c:strRef>
          </c:cat>
          <c:val>
            <c:numRef>
              <c:f>Fig_2C_decomp!$F$4:$F$22</c:f>
              <c:numCache>
                <c:formatCode>General</c:formatCode>
                <c:ptCount val="19"/>
                <c:pt idx="0">
                  <c:v>930</c:v>
                </c:pt>
                <c:pt idx="1">
                  <c:v>912</c:v>
                </c:pt>
                <c:pt idx="2">
                  <c:v>905</c:v>
                </c:pt>
                <c:pt idx="3">
                  <c:v>910</c:v>
                </c:pt>
                <c:pt idx="4">
                  <c:v>895</c:v>
                </c:pt>
                <c:pt idx="5">
                  <c:v>962</c:v>
                </c:pt>
                <c:pt idx="6">
                  <c:v>365</c:v>
                </c:pt>
                <c:pt idx="7">
                  <c:v>969</c:v>
                </c:pt>
                <c:pt idx="8">
                  <c:v>777</c:v>
                </c:pt>
                <c:pt idx="9">
                  <c:v>950</c:v>
                </c:pt>
                <c:pt idx="10">
                  <c:v>600</c:v>
                </c:pt>
                <c:pt idx="11">
                  <c:v>438</c:v>
                </c:pt>
                <c:pt idx="12">
                  <c:v>433</c:v>
                </c:pt>
                <c:pt idx="13">
                  <c:v>464</c:v>
                </c:pt>
                <c:pt idx="14">
                  <c:v>239</c:v>
                </c:pt>
                <c:pt idx="15">
                  <c:v>239</c:v>
                </c:pt>
                <c:pt idx="16">
                  <c:v>230</c:v>
                </c:pt>
                <c:pt idx="17">
                  <c:v>148</c:v>
                </c:pt>
                <c:pt idx="18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F-417A-8725-52367D391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971984"/>
        <c:axId val="1037971504"/>
      </c:barChart>
      <c:catAx>
        <c:axId val="10379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Patriarch</a:t>
                </a:r>
                <a:r>
                  <a:rPr lang="en-AU" baseline="0"/>
                  <a:t> name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504"/>
        <c:crosses val="autoZero"/>
        <c:auto val="1"/>
        <c:lblAlgn val="ctr"/>
        <c:lblOffset val="100"/>
        <c:noMultiLvlLbl val="0"/>
      </c:catAx>
      <c:valAx>
        <c:axId val="1037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Fig_2C_decomp!$G$48:$G$57</c:f>
              <c:numCache>
                <c:formatCode>General</c:formatCode>
                <c:ptCount val="10"/>
                <c:pt idx="0">
                  <c:v>9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7-47A2-BBB6-B28AFBCC06CE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Fig_2C_decomp!$H$48:$H$57</c:f>
              <c:numCache>
                <c:formatCode>General</c:formatCode>
                <c:ptCount val="10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7-47A2-BBB6-B28AFBCC06CE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Fig_2C_decomp!$I$48:$I$57</c:f>
              <c:numCache>
                <c:formatCode>General</c:formatCode>
                <c:ptCount val="10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7-47A2-BBB6-B28AFBCC0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62060426694346"/>
          <c:y val="7.4652230971128622E-2"/>
          <c:w val="0.27231135500366493"/>
          <c:h val="0.114006270049577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Fig_2C_decomp!$J$48:$J$57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9-4623-9EBB-BF0299317CF1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Fig_2C_decomp!$K$48:$K$57</c:f>
              <c:numCache>
                <c:formatCode>General</c:formatCode>
                <c:ptCount val="10"/>
                <c:pt idx="0">
                  <c:v>10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9-4623-9EBB-BF0299317CF1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Fig_2C_decomp!$L$48:$L$57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29-4623-9EBB-BF0299317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01971379523437"/>
          <c:y val="7.4652230971128622E-2"/>
          <c:w val="0.28035593177046741"/>
          <c:h val="0.109376640419947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Fig_2C_decomp!$M$48:$M$57</c:f>
              <c:numCache>
                <c:formatCode>General</c:formatCode>
                <c:ptCount val="10"/>
                <c:pt idx="0">
                  <c:v>12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3-48CC-AE07-51C20112746D}"/>
            </c:ext>
          </c:extLst>
        </c:ser>
        <c:ser>
          <c:idx val="1"/>
          <c:order val="1"/>
          <c:tx>
            <c:v>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Fig_2C_decomp!$N$48:$N$57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3-48CC-AE07-51C20112746D}"/>
            </c:ext>
          </c:extLst>
        </c:ser>
        <c:ser>
          <c:idx val="2"/>
          <c:order val="2"/>
          <c:tx>
            <c:v>Z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Fig_2C_decomp!$F$48:$F$57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Fig_2C_decomp!$O$48:$O$57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53-48CC-AE07-51C20112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344112"/>
        <c:axId val="1554344592"/>
      </c:barChart>
      <c:catAx>
        <c:axId val="155434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100's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592"/>
        <c:crosses val="autoZero"/>
        <c:auto val="1"/>
        <c:lblAlgn val="ctr"/>
        <c:lblOffset val="100"/>
        <c:noMultiLvlLbl val="0"/>
      </c:catAx>
      <c:valAx>
        <c:axId val="1554344592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415303655241085"/>
          <c:y val="7.0022601341498986E-2"/>
          <c:w val="0.29804579718389984"/>
          <c:h val="0.1278951589384660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'judah israel kings'!$U$8</c:f>
              <c:strCache>
                <c:ptCount val="1"/>
                <c:pt idx="0">
                  <c:v>calc.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'judah israel kings'!$T$9:$T$18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'judah israel kings'!$U$9:$U$18</c:f>
              <c:numCache>
                <c:formatCode>General</c:formatCode>
                <c:ptCount val="10"/>
                <c:pt idx="0">
                  <c:v>2</c:v>
                </c:pt>
                <c:pt idx="1">
                  <c:v>14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3-4A68-89F4-1E0BF19183F3}"/>
            </c:ext>
          </c:extLst>
        </c:ser>
        <c:ser>
          <c:idx val="1"/>
          <c:order val="1"/>
          <c:tx>
            <c:strRef>
              <c:f>'judah israel kings'!$V$8</c:f>
              <c:strCache>
                <c:ptCount val="1"/>
                <c:pt idx="0">
                  <c:v>stated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'judah israel kings'!$T$9:$T$18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'judah israel kings'!$V$9:$V$18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11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3-4A68-89F4-1E0BF1918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9870863"/>
        <c:axId val="1519872303"/>
      </c:barChart>
      <c:catAx>
        <c:axId val="1519870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Digit in 1's column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72303"/>
        <c:crosses val="autoZero"/>
        <c:auto val="1"/>
        <c:lblAlgn val="ctr"/>
        <c:lblOffset val="100"/>
        <c:noMultiLvlLbl val="0"/>
      </c:catAx>
      <c:valAx>
        <c:axId val="151987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7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776377952755911"/>
          <c:y val="0.17650408282298044"/>
          <c:w val="0.17640269119190174"/>
          <c:h val="8.351063083620517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Sumerian</a:t>
            </a:r>
            <a:r>
              <a:rPr lang="en-AU" baseline="0"/>
              <a:t> King Ages - Berossos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SUMER!$B$3:$B$15</c:f>
              <c:strCache>
                <c:ptCount val="13"/>
                <c:pt idx="0">
                  <c:v>Alulim</c:v>
                </c:pt>
                <c:pt idx="1">
                  <c:v>Alalgar</c:v>
                </c:pt>
                <c:pt idx="2">
                  <c:v>Emmenluanna</c:v>
                </c:pt>
                <c:pt idx="3">
                  <c:v>Emmengalanna</c:v>
                </c:pt>
                <c:pt idx="4">
                  <c:v>… kidunnu</c:v>
                </c:pt>
                <c:pt idx="5">
                  <c:v>… alimma</c:v>
                </c:pt>
                <c:pt idx="6">
                  <c:v>Evedoragxos</c:v>
                </c:pt>
                <c:pt idx="7">
                  <c:v>Ammemon</c:v>
                </c:pt>
                <c:pt idx="8">
                  <c:v>Dumuzi</c:v>
                </c:pt>
                <c:pt idx="9">
                  <c:v>Ensipazianna</c:v>
                </c:pt>
                <c:pt idx="10">
                  <c:v>Enmenduranna</c:v>
                </c:pt>
                <c:pt idx="11">
                  <c:v>Ubartutu</c:v>
                </c:pt>
                <c:pt idx="12">
                  <c:v>Ziusudra</c:v>
                </c:pt>
              </c:strCache>
            </c:strRef>
          </c:cat>
          <c:val>
            <c:numRef>
              <c:f>SUMER!$E$3:$E$15</c:f>
              <c:numCache>
                <c:formatCode>#,##0</c:formatCode>
                <c:ptCount val="13"/>
                <c:pt idx="0">
                  <c:v>36000</c:v>
                </c:pt>
                <c:pt idx="1">
                  <c:v>10800</c:v>
                </c:pt>
                <c:pt idx="2">
                  <c:v>46800</c:v>
                </c:pt>
                <c:pt idx="3">
                  <c:v>64800</c:v>
                </c:pt>
                <c:pt idx="6">
                  <c:v>64800</c:v>
                </c:pt>
                <c:pt idx="7">
                  <c:v>43200</c:v>
                </c:pt>
                <c:pt idx="8">
                  <c:v>36000</c:v>
                </c:pt>
                <c:pt idx="9">
                  <c:v>36000</c:v>
                </c:pt>
                <c:pt idx="11">
                  <c:v>28800</c:v>
                </c:pt>
                <c:pt idx="12">
                  <c:v>64800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2-432B-8056-D9EA7FD36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431168"/>
        <c:axId val="1553430208"/>
      </c:barChart>
      <c:catAx>
        <c:axId val="155343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King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30208"/>
        <c:crosses val="autoZero"/>
        <c:auto val="1"/>
        <c:lblAlgn val="ctr"/>
        <c:lblOffset val="100"/>
        <c:noMultiLvlLbl val="0"/>
      </c:catAx>
      <c:valAx>
        <c:axId val="15534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3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SUMER!$C$2</c:f>
              <c:strCache>
                <c:ptCount val="1"/>
                <c:pt idx="0">
                  <c:v>W-B 62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SUMER!$B$3:$B$15</c:f>
              <c:strCache>
                <c:ptCount val="13"/>
                <c:pt idx="0">
                  <c:v>Alulim</c:v>
                </c:pt>
                <c:pt idx="1">
                  <c:v>Alalgar</c:v>
                </c:pt>
                <c:pt idx="2">
                  <c:v>Emmenluanna</c:v>
                </c:pt>
                <c:pt idx="3">
                  <c:v>Emmengalanna</c:v>
                </c:pt>
                <c:pt idx="4">
                  <c:v>… kidunnu</c:v>
                </c:pt>
                <c:pt idx="5">
                  <c:v>… alimma</c:v>
                </c:pt>
                <c:pt idx="6">
                  <c:v>Evedoragxos</c:v>
                </c:pt>
                <c:pt idx="7">
                  <c:v>Ammemon</c:v>
                </c:pt>
                <c:pt idx="8">
                  <c:v>Dumuzi</c:v>
                </c:pt>
                <c:pt idx="9">
                  <c:v>Ensipazianna</c:v>
                </c:pt>
                <c:pt idx="10">
                  <c:v>Enmenduranna</c:v>
                </c:pt>
                <c:pt idx="11">
                  <c:v>Ubartutu</c:v>
                </c:pt>
                <c:pt idx="12">
                  <c:v>Ziusudra</c:v>
                </c:pt>
              </c:strCache>
            </c:strRef>
          </c:cat>
          <c:val>
            <c:numRef>
              <c:f>SUMER!$C$3:$C$15</c:f>
              <c:numCache>
                <c:formatCode>#,##0</c:formatCode>
                <c:ptCount val="13"/>
                <c:pt idx="0">
                  <c:v>67200</c:v>
                </c:pt>
                <c:pt idx="1">
                  <c:v>72000</c:v>
                </c:pt>
                <c:pt idx="2">
                  <c:v>21600</c:v>
                </c:pt>
                <c:pt idx="4">
                  <c:v>72000</c:v>
                </c:pt>
                <c:pt idx="5">
                  <c:v>21600</c:v>
                </c:pt>
                <c:pt idx="8">
                  <c:v>28800</c:v>
                </c:pt>
                <c:pt idx="9">
                  <c:v>36000</c:v>
                </c:pt>
                <c:pt idx="10">
                  <c:v>72000</c:v>
                </c:pt>
                <c:pt idx="11">
                  <c:v>28800</c:v>
                </c:pt>
                <c:pt idx="12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8-4B7E-AD25-7C29DC201E69}"/>
            </c:ext>
          </c:extLst>
        </c:ser>
        <c:ser>
          <c:idx val="1"/>
          <c:order val="1"/>
          <c:tx>
            <c:strRef>
              <c:f>SUMER!$D$2</c:f>
              <c:strCache>
                <c:ptCount val="1"/>
                <c:pt idx="0">
                  <c:v>W-B 444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SUMER!$B$3:$B$15</c:f>
              <c:strCache>
                <c:ptCount val="13"/>
                <c:pt idx="0">
                  <c:v>Alulim</c:v>
                </c:pt>
                <c:pt idx="1">
                  <c:v>Alalgar</c:v>
                </c:pt>
                <c:pt idx="2">
                  <c:v>Emmenluanna</c:v>
                </c:pt>
                <c:pt idx="3">
                  <c:v>Emmengalanna</c:v>
                </c:pt>
                <c:pt idx="4">
                  <c:v>… kidunnu</c:v>
                </c:pt>
                <c:pt idx="5">
                  <c:v>… alimma</c:v>
                </c:pt>
                <c:pt idx="6">
                  <c:v>Evedoragxos</c:v>
                </c:pt>
                <c:pt idx="7">
                  <c:v>Ammemon</c:v>
                </c:pt>
                <c:pt idx="8">
                  <c:v>Dumuzi</c:v>
                </c:pt>
                <c:pt idx="9">
                  <c:v>Ensipazianna</c:v>
                </c:pt>
                <c:pt idx="10">
                  <c:v>Enmenduranna</c:v>
                </c:pt>
                <c:pt idx="11">
                  <c:v>Ubartutu</c:v>
                </c:pt>
                <c:pt idx="12">
                  <c:v>Ziusudra</c:v>
                </c:pt>
              </c:strCache>
            </c:strRef>
          </c:cat>
          <c:val>
            <c:numRef>
              <c:f>SUMER!$D$3:$D$15</c:f>
              <c:numCache>
                <c:formatCode>#,##0</c:formatCode>
                <c:ptCount val="13"/>
                <c:pt idx="0">
                  <c:v>28800</c:v>
                </c:pt>
                <c:pt idx="1">
                  <c:v>36000</c:v>
                </c:pt>
                <c:pt idx="2">
                  <c:v>43200</c:v>
                </c:pt>
                <c:pt idx="3">
                  <c:v>28800</c:v>
                </c:pt>
                <c:pt idx="8">
                  <c:v>36000</c:v>
                </c:pt>
                <c:pt idx="9">
                  <c:v>28800</c:v>
                </c:pt>
                <c:pt idx="10">
                  <c:v>21000</c:v>
                </c:pt>
                <c:pt idx="11">
                  <c:v>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8-4B7E-AD25-7C29DC201E69}"/>
            </c:ext>
          </c:extLst>
        </c:ser>
        <c:ser>
          <c:idx val="2"/>
          <c:order val="2"/>
          <c:tx>
            <c:strRef>
              <c:f>SUMER!$E$2</c:f>
              <c:strCache>
                <c:ptCount val="1"/>
                <c:pt idx="0">
                  <c:v>Berossos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SUMER!$B$3:$B$15</c:f>
              <c:strCache>
                <c:ptCount val="13"/>
                <c:pt idx="0">
                  <c:v>Alulim</c:v>
                </c:pt>
                <c:pt idx="1">
                  <c:v>Alalgar</c:v>
                </c:pt>
                <c:pt idx="2">
                  <c:v>Emmenluanna</c:v>
                </c:pt>
                <c:pt idx="3">
                  <c:v>Emmengalanna</c:v>
                </c:pt>
                <c:pt idx="4">
                  <c:v>… kidunnu</c:v>
                </c:pt>
                <c:pt idx="5">
                  <c:v>… alimma</c:v>
                </c:pt>
                <c:pt idx="6">
                  <c:v>Evedoragxos</c:v>
                </c:pt>
                <c:pt idx="7">
                  <c:v>Ammemon</c:v>
                </c:pt>
                <c:pt idx="8">
                  <c:v>Dumuzi</c:v>
                </c:pt>
                <c:pt idx="9">
                  <c:v>Ensipazianna</c:v>
                </c:pt>
                <c:pt idx="10">
                  <c:v>Enmenduranna</c:v>
                </c:pt>
                <c:pt idx="11">
                  <c:v>Ubartutu</c:v>
                </c:pt>
                <c:pt idx="12">
                  <c:v>Ziusudra</c:v>
                </c:pt>
              </c:strCache>
            </c:strRef>
          </c:cat>
          <c:val>
            <c:numRef>
              <c:f>SUMER!$E$3:$E$15</c:f>
              <c:numCache>
                <c:formatCode>#,##0</c:formatCode>
                <c:ptCount val="13"/>
                <c:pt idx="0">
                  <c:v>36000</c:v>
                </c:pt>
                <c:pt idx="1">
                  <c:v>10800</c:v>
                </c:pt>
                <c:pt idx="2">
                  <c:v>46800</c:v>
                </c:pt>
                <c:pt idx="3">
                  <c:v>64800</c:v>
                </c:pt>
                <c:pt idx="6">
                  <c:v>64800</c:v>
                </c:pt>
                <c:pt idx="7">
                  <c:v>43200</c:v>
                </c:pt>
                <c:pt idx="8">
                  <c:v>36000</c:v>
                </c:pt>
                <c:pt idx="9">
                  <c:v>36000</c:v>
                </c:pt>
                <c:pt idx="11">
                  <c:v>28800</c:v>
                </c:pt>
                <c:pt idx="12">
                  <c:v>64800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8-4B7E-AD25-7C29DC201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984319"/>
        <c:axId val="1959982879"/>
      </c:barChart>
      <c:catAx>
        <c:axId val="1959984319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82879"/>
        <c:crosses val="autoZero"/>
        <c:auto val="1"/>
        <c:lblAlgn val="ctr"/>
        <c:lblOffset val="100"/>
        <c:noMultiLvlLbl val="0"/>
      </c:catAx>
      <c:valAx>
        <c:axId val="19599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Years of reign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8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85498366410988"/>
          <c:y val="7.0022601341498986E-2"/>
          <c:w val="0.32597998715430498"/>
          <c:h val="6.4756000945140182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Bible ages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'Exponential Decay Curve'!$E$13:$E$38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25</c:v>
                </c:pt>
                <c:pt idx="18">
                  <c:v>24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</c:numCache>
            </c:numRef>
          </c:xVal>
          <c:yVal>
            <c:numRef>
              <c:f>'Exponential Decay Curve'!$G$13:$G$38</c:f>
              <c:numCache>
                <c:formatCode>General</c:formatCode>
                <c:ptCount val="26"/>
                <c:pt idx="0">
                  <c:v>950</c:v>
                </c:pt>
                <c:pt idx="1">
                  <c:v>600</c:v>
                </c:pt>
                <c:pt idx="2">
                  <c:v>438</c:v>
                </c:pt>
                <c:pt idx="3">
                  <c:v>433</c:v>
                </c:pt>
                <c:pt idx="4">
                  <c:v>464</c:v>
                </c:pt>
                <c:pt idx="5">
                  <c:v>239</c:v>
                </c:pt>
                <c:pt idx="6">
                  <c:v>239</c:v>
                </c:pt>
                <c:pt idx="7">
                  <c:v>234</c:v>
                </c:pt>
                <c:pt idx="8">
                  <c:v>148</c:v>
                </c:pt>
                <c:pt idx="9">
                  <c:v>205</c:v>
                </c:pt>
                <c:pt idx="10">
                  <c:v>175</c:v>
                </c:pt>
                <c:pt idx="11">
                  <c:v>180</c:v>
                </c:pt>
                <c:pt idx="12">
                  <c:v>147</c:v>
                </c:pt>
                <c:pt idx="13">
                  <c:v>137</c:v>
                </c:pt>
                <c:pt idx="14">
                  <c:v>133</c:v>
                </c:pt>
                <c:pt idx="15">
                  <c:v>147</c:v>
                </c:pt>
                <c:pt idx="16">
                  <c:v>120</c:v>
                </c:pt>
                <c:pt idx="17">
                  <c:v>110</c:v>
                </c:pt>
                <c:pt idx="18">
                  <c:v>70</c:v>
                </c:pt>
                <c:pt idx="19">
                  <c:v>58</c:v>
                </c:pt>
                <c:pt idx="20">
                  <c:v>60</c:v>
                </c:pt>
                <c:pt idx="21">
                  <c:v>40</c:v>
                </c:pt>
                <c:pt idx="22">
                  <c:v>41</c:v>
                </c:pt>
                <c:pt idx="23">
                  <c:v>36</c:v>
                </c:pt>
                <c:pt idx="24">
                  <c:v>54</c:v>
                </c:pt>
                <c:pt idx="25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B-433C-8253-337F9869A25D}"/>
            </c:ext>
          </c:extLst>
        </c:ser>
        <c:ser>
          <c:idx val="1"/>
          <c:order val="1"/>
          <c:tx>
            <c:v>L=500*exp(4-gamma)/5.5 + 71.7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'Exponential Decay Curve'!$E$13:$E$38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25</c:v>
                </c:pt>
                <c:pt idx="18">
                  <c:v>24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</c:numCache>
            </c:numRef>
          </c:xVal>
          <c:yVal>
            <c:numRef>
              <c:f>'Exponential Decay Curve'!$H$13:$H$38</c:f>
              <c:numCache>
                <c:formatCode>General</c:formatCode>
                <c:ptCount val="26"/>
                <c:pt idx="0">
                  <c:v>982.75940019525444</c:v>
                </c:pt>
                <c:pt idx="1">
                  <c:v>817.61234882063525</c:v>
                </c:pt>
                <c:pt idx="2">
                  <c:v>682.40137908008501</c:v>
                </c:pt>
                <c:pt idx="3">
                  <c:v>571.70000000000005</c:v>
                </c:pt>
                <c:pt idx="4">
                  <c:v>481.0653765389909</c:v>
                </c:pt>
                <c:pt idx="5">
                  <c:v>406.86002301781963</c:v>
                </c:pt>
                <c:pt idx="6">
                  <c:v>346.1058180470132</c:v>
                </c:pt>
                <c:pt idx="7">
                  <c:v>296.3644820586108</c:v>
                </c:pt>
                <c:pt idx="8">
                  <c:v>255.63972058572119</c:v>
                </c:pt>
                <c:pt idx="9">
                  <c:v>222.29710595610106</c:v>
                </c:pt>
                <c:pt idx="10">
                  <c:v>194.99848197080325</c:v>
                </c:pt>
                <c:pt idx="11">
                  <c:v>172.6482589973277</c:v>
                </c:pt>
                <c:pt idx="12">
                  <c:v>154.34944411079329</c:v>
                </c:pt>
                <c:pt idx="13">
                  <c:v>139.36764161830635</c:v>
                </c:pt>
                <c:pt idx="14">
                  <c:v>127.10157918116694</c:v>
                </c:pt>
                <c:pt idx="15">
                  <c:v>117.05897664470626</c:v>
                </c:pt>
                <c:pt idx="16">
                  <c:v>108.83678910716694</c:v>
                </c:pt>
                <c:pt idx="17">
                  <c:v>79.197788410238857</c:v>
                </c:pt>
                <c:pt idx="18">
                  <c:v>80.857819444367095</c:v>
                </c:pt>
                <c:pt idx="19">
                  <c:v>77.838669951534214</c:v>
                </c:pt>
                <c:pt idx="20">
                  <c:v>75.068973499542736</c:v>
                </c:pt>
                <c:pt idx="21">
                  <c:v>74.458282210380389</c:v>
                </c:pt>
                <c:pt idx="22">
                  <c:v>72.714715318147867</c:v>
                </c:pt>
                <c:pt idx="23">
                  <c:v>72.530778636586973</c:v>
                </c:pt>
                <c:pt idx="24">
                  <c:v>72.380184018773946</c:v>
                </c:pt>
                <c:pt idx="25">
                  <c:v>72.256887573922398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2B-433C-8253-337F9869A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022783"/>
        <c:axId val="1065022303"/>
      </c:scatterChart>
      <c:valAx>
        <c:axId val="106502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Generation (starting</a:t>
                </a:r>
                <a:r>
                  <a:rPr lang="en-AU" baseline="0"/>
                  <a:t> at Noah = 1)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2303"/>
        <c:crosses val="autoZero"/>
        <c:crossBetween val="midCat"/>
      </c:valAx>
      <c:valAx>
        <c:axId val="10650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Lifespan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2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552274715660544"/>
          <c:y val="0.15856372120151649"/>
          <c:w val="0.40447725284339459"/>
          <c:h val="0.14120589093030039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Bible ages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'Exponential Decay Curve'!$E$13:$E$38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25</c:v>
                </c:pt>
                <c:pt idx="18">
                  <c:v>24</c:v>
                </c:pt>
                <c:pt idx="19">
                  <c:v>26</c:v>
                </c:pt>
                <c:pt idx="20">
                  <c:v>29</c:v>
                </c:pt>
                <c:pt idx="21">
                  <c:v>30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</c:numCache>
            </c:numRef>
          </c:xVal>
          <c:yVal>
            <c:numRef>
              <c:f>'Exponential Decay Curve'!$G$13:$G$38</c:f>
              <c:numCache>
                <c:formatCode>General</c:formatCode>
                <c:ptCount val="26"/>
                <c:pt idx="0">
                  <c:v>950</c:v>
                </c:pt>
                <c:pt idx="1">
                  <c:v>600</c:v>
                </c:pt>
                <c:pt idx="2">
                  <c:v>438</c:v>
                </c:pt>
                <c:pt idx="3">
                  <c:v>433</c:v>
                </c:pt>
                <c:pt idx="4">
                  <c:v>464</c:v>
                </c:pt>
                <c:pt idx="5">
                  <c:v>239</c:v>
                </c:pt>
                <c:pt idx="6">
                  <c:v>239</c:v>
                </c:pt>
                <c:pt idx="7">
                  <c:v>234</c:v>
                </c:pt>
                <c:pt idx="8">
                  <c:v>148</c:v>
                </c:pt>
                <c:pt idx="9">
                  <c:v>205</c:v>
                </c:pt>
                <c:pt idx="10">
                  <c:v>175</c:v>
                </c:pt>
                <c:pt idx="11">
                  <c:v>180</c:v>
                </c:pt>
                <c:pt idx="12">
                  <c:v>147</c:v>
                </c:pt>
                <c:pt idx="13">
                  <c:v>137</c:v>
                </c:pt>
                <c:pt idx="14">
                  <c:v>133</c:v>
                </c:pt>
                <c:pt idx="15">
                  <c:v>147</c:v>
                </c:pt>
                <c:pt idx="16">
                  <c:v>120</c:v>
                </c:pt>
                <c:pt idx="17">
                  <c:v>110</c:v>
                </c:pt>
                <c:pt idx="18">
                  <c:v>70</c:v>
                </c:pt>
                <c:pt idx="19">
                  <c:v>58</c:v>
                </c:pt>
                <c:pt idx="20">
                  <c:v>60</c:v>
                </c:pt>
                <c:pt idx="21">
                  <c:v>40</c:v>
                </c:pt>
                <c:pt idx="22">
                  <c:v>41</c:v>
                </c:pt>
                <c:pt idx="23">
                  <c:v>36</c:v>
                </c:pt>
                <c:pt idx="24">
                  <c:v>54</c:v>
                </c:pt>
                <c:pt idx="25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B-4F15-83A5-85EEBBD80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022783"/>
        <c:axId val="1065022303"/>
      </c:scatterChart>
      <c:valAx>
        <c:axId val="106502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Generation (starting at Noah)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2303"/>
        <c:crosses val="autoZero"/>
        <c:crossBetween val="midCat"/>
      </c:valAx>
      <c:valAx>
        <c:axId val="10650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Lifespan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'Exponential Decay Curve'!$F$4:$F$38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34</c:v>
                </c:pt>
                <c:pt idx="27">
                  <c:v>33</c:v>
                </c:pt>
                <c:pt idx="28">
                  <c:v>35</c:v>
                </c:pt>
                <c:pt idx="29">
                  <c:v>38</c:v>
                </c:pt>
                <c:pt idx="30">
                  <c:v>39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</c:numCache>
            </c:numRef>
          </c:xVal>
          <c:yVal>
            <c:numRef>
              <c:f>'Exponential Decay Curve'!$G$4:$G$38</c:f>
              <c:numCache>
                <c:formatCode>General</c:formatCode>
                <c:ptCount val="35"/>
                <c:pt idx="0">
                  <c:v>930</c:v>
                </c:pt>
                <c:pt idx="1">
                  <c:v>912</c:v>
                </c:pt>
                <c:pt idx="2">
                  <c:v>905</c:v>
                </c:pt>
                <c:pt idx="3">
                  <c:v>910</c:v>
                </c:pt>
                <c:pt idx="4">
                  <c:v>895</c:v>
                </c:pt>
                <c:pt idx="5">
                  <c:v>962</c:v>
                </c:pt>
                <c:pt idx="6">
                  <c:v>365</c:v>
                </c:pt>
                <c:pt idx="7">
                  <c:v>969</c:v>
                </c:pt>
                <c:pt idx="8">
                  <c:v>777</c:v>
                </c:pt>
                <c:pt idx="9">
                  <c:v>950</c:v>
                </c:pt>
                <c:pt idx="10">
                  <c:v>600</c:v>
                </c:pt>
                <c:pt idx="11">
                  <c:v>438</c:v>
                </c:pt>
                <c:pt idx="12">
                  <c:v>433</c:v>
                </c:pt>
                <c:pt idx="13">
                  <c:v>464</c:v>
                </c:pt>
                <c:pt idx="14">
                  <c:v>239</c:v>
                </c:pt>
                <c:pt idx="15">
                  <c:v>239</c:v>
                </c:pt>
                <c:pt idx="16">
                  <c:v>234</c:v>
                </c:pt>
                <c:pt idx="17">
                  <c:v>148</c:v>
                </c:pt>
                <c:pt idx="18">
                  <c:v>205</c:v>
                </c:pt>
                <c:pt idx="19">
                  <c:v>175</c:v>
                </c:pt>
                <c:pt idx="20">
                  <c:v>180</c:v>
                </c:pt>
                <c:pt idx="21">
                  <c:v>147</c:v>
                </c:pt>
                <c:pt idx="22">
                  <c:v>137</c:v>
                </c:pt>
                <c:pt idx="23">
                  <c:v>133</c:v>
                </c:pt>
                <c:pt idx="24">
                  <c:v>147</c:v>
                </c:pt>
                <c:pt idx="25">
                  <c:v>120</c:v>
                </c:pt>
                <c:pt idx="26">
                  <c:v>110</c:v>
                </c:pt>
                <c:pt idx="27">
                  <c:v>70</c:v>
                </c:pt>
                <c:pt idx="28">
                  <c:v>58</c:v>
                </c:pt>
                <c:pt idx="29">
                  <c:v>60</c:v>
                </c:pt>
                <c:pt idx="30">
                  <c:v>40</c:v>
                </c:pt>
                <c:pt idx="31">
                  <c:v>41</c:v>
                </c:pt>
                <c:pt idx="32">
                  <c:v>36</c:v>
                </c:pt>
                <c:pt idx="33">
                  <c:v>54</c:v>
                </c:pt>
                <c:pt idx="34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4-4F4A-9A8D-6F600E4DC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022783"/>
        <c:axId val="1065022303"/>
      </c:scatterChart>
      <c:valAx>
        <c:axId val="106502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Generation (starting at Noah)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2303"/>
        <c:crosses val="autoZero"/>
        <c:crossBetween val="midCat"/>
      </c:valAx>
      <c:valAx>
        <c:axId val="10650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Lifespan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301214</xdr:colOff>
      <xdr:row>2</xdr:row>
      <xdr:rowOff>277092</xdr:rowOff>
    </xdr:from>
    <xdr:to>
      <xdr:col>32</xdr:col>
      <xdr:colOff>28452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E9DAA-6ED7-41F1-B9A6-816BC5464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71239</xdr:colOff>
      <xdr:row>37</xdr:row>
      <xdr:rowOff>107256</xdr:rowOff>
    </xdr:from>
    <xdr:to>
      <xdr:col>28</xdr:col>
      <xdr:colOff>589109</xdr:colOff>
      <xdr:row>52</xdr:row>
      <xdr:rowOff>5283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88CEEDA-86F2-43C1-9A74-CE6D3A10F17C}"/>
            </a:ext>
          </a:extLst>
        </xdr:cNvPr>
        <xdr:cNvGrpSpPr/>
      </xdr:nvGrpSpPr>
      <xdr:grpSpPr>
        <a:xfrm>
          <a:off x="12142012" y="8142892"/>
          <a:ext cx="7982006" cy="2755527"/>
          <a:chOff x="3894846" y="8462041"/>
          <a:chExt cx="7974584" cy="275552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9FC5284-7EEE-4AA8-C6DE-352CB9267D93}"/>
              </a:ext>
            </a:extLst>
          </xdr:cNvPr>
          <xdr:cNvGraphicFramePr>
            <a:graphicFrameLocks/>
          </xdr:cNvGraphicFramePr>
        </xdr:nvGraphicFramePr>
        <xdr:xfrm>
          <a:off x="3894846" y="8474368"/>
          <a:ext cx="262057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B4DA8270-08F5-C09A-3618-A2953F16DC5C}"/>
              </a:ext>
            </a:extLst>
          </xdr:cNvPr>
          <xdr:cNvGraphicFramePr>
            <a:graphicFrameLocks/>
          </xdr:cNvGraphicFramePr>
        </xdr:nvGraphicFramePr>
        <xdr:xfrm>
          <a:off x="6549037" y="8473247"/>
          <a:ext cx="263658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EB0B3D5A-38FC-9674-7DC5-433BECF03004}"/>
              </a:ext>
            </a:extLst>
          </xdr:cNvPr>
          <xdr:cNvGraphicFramePr>
            <a:graphicFrameLocks/>
          </xdr:cNvGraphicFramePr>
        </xdr:nvGraphicFramePr>
        <xdr:xfrm>
          <a:off x="9219239" y="8462041"/>
          <a:ext cx="265019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5</xdr:col>
      <xdr:colOff>261316</xdr:colOff>
      <xdr:row>37</xdr:row>
      <xdr:rowOff>126724</xdr:rowOff>
    </xdr:from>
    <xdr:to>
      <xdr:col>16</xdr:col>
      <xdr:colOff>373930</xdr:colOff>
      <xdr:row>52</xdr:row>
      <xdr:rowOff>24751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6391E84-7035-423B-A2DF-EFE9FA582F0F}"/>
            </a:ext>
          </a:extLst>
        </xdr:cNvPr>
        <xdr:cNvGrpSpPr/>
      </xdr:nvGrpSpPr>
      <xdr:grpSpPr>
        <a:xfrm>
          <a:off x="3846180" y="8162360"/>
          <a:ext cx="7992386" cy="2755527"/>
          <a:chOff x="3894846" y="8462041"/>
          <a:chExt cx="7974584" cy="2755527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4CB2FCB-DDE9-DD40-72C3-CDCFB34C5899}"/>
              </a:ext>
            </a:extLst>
          </xdr:cNvPr>
          <xdr:cNvGraphicFramePr>
            <a:graphicFrameLocks/>
          </xdr:cNvGraphicFramePr>
        </xdr:nvGraphicFramePr>
        <xdr:xfrm>
          <a:off x="3894846" y="8474368"/>
          <a:ext cx="262057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71986971-8893-75AC-B25B-B21879B53ACA}"/>
              </a:ext>
            </a:extLst>
          </xdr:cNvPr>
          <xdr:cNvGraphicFramePr>
            <a:graphicFrameLocks/>
          </xdr:cNvGraphicFramePr>
        </xdr:nvGraphicFramePr>
        <xdr:xfrm>
          <a:off x="6549037" y="8473247"/>
          <a:ext cx="263658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E8393E30-EE4C-A863-2FE9-D9CC4CB044CE}"/>
              </a:ext>
            </a:extLst>
          </xdr:cNvPr>
          <xdr:cNvGraphicFramePr>
            <a:graphicFrameLocks/>
          </xdr:cNvGraphicFramePr>
        </xdr:nvGraphicFramePr>
        <xdr:xfrm>
          <a:off x="9219239" y="8462041"/>
          <a:ext cx="265019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1857</xdr:colOff>
      <xdr:row>2</xdr:row>
      <xdr:rowOff>127413</xdr:rowOff>
    </xdr:from>
    <xdr:to>
      <xdr:col>31</xdr:col>
      <xdr:colOff>341416</xdr:colOff>
      <xdr:row>22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83C09-B6CB-499B-9A2C-8AE876284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448236</xdr:colOff>
      <xdr:row>37</xdr:row>
      <xdr:rowOff>33617</xdr:rowOff>
    </xdr:from>
    <xdr:to>
      <xdr:col>16</xdr:col>
      <xdr:colOff>571499</xdr:colOff>
      <xdr:row>51</xdr:row>
      <xdr:rowOff>122144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0B0A883-8F0C-4FA3-8E6E-111EB4017294}"/>
            </a:ext>
          </a:extLst>
        </xdr:cNvPr>
        <xdr:cNvGrpSpPr/>
      </xdr:nvGrpSpPr>
      <xdr:grpSpPr>
        <a:xfrm>
          <a:off x="4094950" y="7680831"/>
          <a:ext cx="7974585" cy="2755527"/>
          <a:chOff x="3894846" y="8462041"/>
          <a:chExt cx="7974584" cy="275552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0205A79-89D7-ED9A-12FE-CD67F27DA590}"/>
              </a:ext>
            </a:extLst>
          </xdr:cNvPr>
          <xdr:cNvGraphicFramePr>
            <a:graphicFrameLocks/>
          </xdr:cNvGraphicFramePr>
        </xdr:nvGraphicFramePr>
        <xdr:xfrm>
          <a:off x="3894846" y="8474368"/>
          <a:ext cx="262057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72CD049-2C1D-C0B3-B1CA-259441146FD3}"/>
              </a:ext>
            </a:extLst>
          </xdr:cNvPr>
          <xdr:cNvGraphicFramePr>
            <a:graphicFrameLocks/>
          </xdr:cNvGraphicFramePr>
        </xdr:nvGraphicFramePr>
        <xdr:xfrm>
          <a:off x="6549037" y="8473247"/>
          <a:ext cx="263658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1D21E076-9F27-CF17-81B5-620F07A080D4}"/>
              </a:ext>
            </a:extLst>
          </xdr:cNvPr>
          <xdr:cNvGraphicFramePr>
            <a:graphicFrameLocks/>
          </xdr:cNvGraphicFramePr>
        </xdr:nvGraphicFramePr>
        <xdr:xfrm>
          <a:off x="9219239" y="8462041"/>
          <a:ext cx="265019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532534</xdr:colOff>
      <xdr:row>1</xdr:row>
      <xdr:rowOff>195449</xdr:rowOff>
    </xdr:from>
    <xdr:to>
      <xdr:col>31</xdr:col>
      <xdr:colOff>259772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EA2C0-B627-42BD-83D1-85E7C85E3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479453</xdr:colOff>
      <xdr:row>36</xdr:row>
      <xdr:rowOff>120863</xdr:rowOff>
    </xdr:from>
    <xdr:to>
      <xdr:col>16</xdr:col>
      <xdr:colOff>602716</xdr:colOff>
      <xdr:row>51</xdr:row>
      <xdr:rowOff>18890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69513E1-DC9F-436C-A207-C43A2C1662D0}"/>
            </a:ext>
          </a:extLst>
        </xdr:cNvPr>
        <xdr:cNvGrpSpPr/>
      </xdr:nvGrpSpPr>
      <xdr:grpSpPr>
        <a:xfrm>
          <a:off x="4071739" y="7985792"/>
          <a:ext cx="7974584" cy="2755527"/>
          <a:chOff x="3894846" y="8462041"/>
          <a:chExt cx="7974584" cy="275552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378DFED-C07F-99FA-B209-C3B761B3E94D}"/>
              </a:ext>
            </a:extLst>
          </xdr:cNvPr>
          <xdr:cNvGraphicFramePr>
            <a:graphicFrameLocks/>
          </xdr:cNvGraphicFramePr>
        </xdr:nvGraphicFramePr>
        <xdr:xfrm>
          <a:off x="3894846" y="8474368"/>
          <a:ext cx="262057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045A16C-EBB5-0DAD-5E66-73A081DBC05B}"/>
              </a:ext>
            </a:extLst>
          </xdr:cNvPr>
          <xdr:cNvGraphicFramePr>
            <a:graphicFrameLocks/>
          </xdr:cNvGraphicFramePr>
        </xdr:nvGraphicFramePr>
        <xdr:xfrm>
          <a:off x="6549037" y="8473247"/>
          <a:ext cx="263658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69023D05-EBC0-8FD2-EF6F-87772C62B63E}"/>
              </a:ext>
            </a:extLst>
          </xdr:cNvPr>
          <xdr:cNvGraphicFramePr>
            <a:graphicFrameLocks/>
          </xdr:cNvGraphicFramePr>
        </xdr:nvGraphicFramePr>
        <xdr:xfrm>
          <a:off x="9219239" y="8462041"/>
          <a:ext cx="265019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573356</xdr:colOff>
      <xdr:row>2</xdr:row>
      <xdr:rowOff>86591</xdr:rowOff>
    </xdr:from>
    <xdr:to>
      <xdr:col>22</xdr:col>
      <xdr:colOff>300594</xdr:colOff>
      <xdr:row>15</xdr:row>
      <xdr:rowOff>8411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70871-C992-4BDC-81E5-118DE8CF6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302560</xdr:colOff>
      <xdr:row>41</xdr:row>
      <xdr:rowOff>134470</xdr:rowOff>
    </xdr:from>
    <xdr:to>
      <xdr:col>16</xdr:col>
      <xdr:colOff>425823</xdr:colOff>
      <xdr:row>56</xdr:row>
      <xdr:rowOff>32497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2A7DFFC-8D16-4367-8522-D7A00440265D}"/>
            </a:ext>
          </a:extLst>
        </xdr:cNvPr>
        <xdr:cNvGrpSpPr/>
      </xdr:nvGrpSpPr>
      <xdr:grpSpPr>
        <a:xfrm>
          <a:off x="3894846" y="8843041"/>
          <a:ext cx="7974584" cy="2755527"/>
          <a:chOff x="3888442" y="8796617"/>
          <a:chExt cx="7933763" cy="275552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AFC0F5F-3701-68DD-2061-B125AD1A5F54}"/>
              </a:ext>
            </a:extLst>
          </xdr:cNvPr>
          <xdr:cNvGraphicFramePr/>
        </xdr:nvGraphicFramePr>
        <xdr:xfrm>
          <a:off x="3888442" y="8808944"/>
          <a:ext cx="262217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60FA11C-07FF-5ECA-962F-A3871AF8C177}"/>
              </a:ext>
            </a:extLst>
          </xdr:cNvPr>
          <xdr:cNvGraphicFramePr>
            <a:graphicFrameLocks/>
          </xdr:cNvGraphicFramePr>
        </xdr:nvGraphicFramePr>
        <xdr:xfrm>
          <a:off x="6544235" y="8807823"/>
          <a:ext cx="262217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D17C1D3-CED4-35DD-E5DF-9826A893BE2F}"/>
              </a:ext>
            </a:extLst>
          </xdr:cNvPr>
          <xdr:cNvGraphicFramePr>
            <a:graphicFrameLocks/>
          </xdr:cNvGraphicFramePr>
        </xdr:nvGraphicFramePr>
        <xdr:xfrm>
          <a:off x="9200029" y="8796617"/>
          <a:ext cx="262217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573356</xdr:colOff>
      <xdr:row>2</xdr:row>
      <xdr:rowOff>86591</xdr:rowOff>
    </xdr:from>
    <xdr:to>
      <xdr:col>22</xdr:col>
      <xdr:colOff>300594</xdr:colOff>
      <xdr:row>14</xdr:row>
      <xdr:rowOff>8411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FE8C3-8D78-434E-9747-5CABFD5CE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302560</xdr:colOff>
      <xdr:row>39</xdr:row>
      <xdr:rowOff>134470</xdr:rowOff>
    </xdr:from>
    <xdr:to>
      <xdr:col>16</xdr:col>
      <xdr:colOff>425823</xdr:colOff>
      <xdr:row>54</xdr:row>
      <xdr:rowOff>32497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C223463-D2F5-4AD0-9DF5-425261E2CC93}"/>
            </a:ext>
          </a:extLst>
        </xdr:cNvPr>
        <xdr:cNvGrpSpPr/>
      </xdr:nvGrpSpPr>
      <xdr:grpSpPr>
        <a:xfrm>
          <a:off x="3887424" y="8533788"/>
          <a:ext cx="7933763" cy="2755527"/>
          <a:chOff x="3894846" y="8462041"/>
          <a:chExt cx="7974584" cy="275552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C92933B-8295-8297-D9F5-1B554965405B}"/>
              </a:ext>
            </a:extLst>
          </xdr:cNvPr>
          <xdr:cNvGraphicFramePr>
            <a:graphicFrameLocks/>
          </xdr:cNvGraphicFramePr>
        </xdr:nvGraphicFramePr>
        <xdr:xfrm>
          <a:off x="3894846" y="8474368"/>
          <a:ext cx="262057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5EC2795E-D4F9-5773-BF71-2E504DCEC100}"/>
              </a:ext>
            </a:extLst>
          </xdr:cNvPr>
          <xdr:cNvGraphicFramePr>
            <a:graphicFrameLocks/>
          </xdr:cNvGraphicFramePr>
        </xdr:nvGraphicFramePr>
        <xdr:xfrm>
          <a:off x="6549037" y="8473247"/>
          <a:ext cx="263658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E476A42-8A79-97B5-BAB5-27D581FAB261}"/>
              </a:ext>
            </a:extLst>
          </xdr:cNvPr>
          <xdr:cNvGraphicFramePr>
            <a:graphicFrameLocks/>
          </xdr:cNvGraphicFramePr>
        </xdr:nvGraphicFramePr>
        <xdr:xfrm>
          <a:off x="9219239" y="8462041"/>
          <a:ext cx="265019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273999</xdr:colOff>
      <xdr:row>2</xdr:row>
      <xdr:rowOff>181842</xdr:rowOff>
    </xdr:from>
    <xdr:to>
      <xdr:col>28</xdr:col>
      <xdr:colOff>1238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40F4D-7B73-4E7F-B38D-AA1A9625C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465847</xdr:colOff>
      <xdr:row>60</xdr:row>
      <xdr:rowOff>52827</xdr:rowOff>
    </xdr:from>
    <xdr:to>
      <xdr:col>15</xdr:col>
      <xdr:colOff>589109</xdr:colOff>
      <xdr:row>74</xdr:row>
      <xdr:rowOff>141354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9F6F664-2952-4AB1-AAEF-1E6AF22C746E}"/>
            </a:ext>
          </a:extLst>
        </xdr:cNvPr>
        <xdr:cNvGrpSpPr/>
      </xdr:nvGrpSpPr>
      <xdr:grpSpPr>
        <a:xfrm>
          <a:off x="3445811" y="12666648"/>
          <a:ext cx="7974584" cy="2755527"/>
          <a:chOff x="3894846" y="8462041"/>
          <a:chExt cx="7974584" cy="2755527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FE09644-F4BB-4EDC-A6C1-B96099B51779}"/>
              </a:ext>
            </a:extLst>
          </xdr:cNvPr>
          <xdr:cNvGraphicFramePr>
            <a:graphicFrameLocks/>
          </xdr:cNvGraphicFramePr>
        </xdr:nvGraphicFramePr>
        <xdr:xfrm>
          <a:off x="3894846" y="8474368"/>
          <a:ext cx="262057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01A3B53-4CF6-4CD0-63B2-EF368302E28F}"/>
              </a:ext>
            </a:extLst>
          </xdr:cNvPr>
          <xdr:cNvGraphicFramePr>
            <a:graphicFrameLocks/>
          </xdr:cNvGraphicFramePr>
        </xdr:nvGraphicFramePr>
        <xdr:xfrm>
          <a:off x="6549037" y="8473247"/>
          <a:ext cx="263658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CF2C4F0-66F6-6BFA-3D9C-453496718208}"/>
              </a:ext>
            </a:extLst>
          </xdr:cNvPr>
          <xdr:cNvGraphicFramePr>
            <a:graphicFrameLocks/>
          </xdr:cNvGraphicFramePr>
        </xdr:nvGraphicFramePr>
        <xdr:xfrm>
          <a:off x="9219239" y="8462041"/>
          <a:ext cx="265019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497460</xdr:colOff>
      <xdr:row>22</xdr:row>
      <xdr:rowOff>106778</xdr:rowOff>
    </xdr:from>
    <xdr:to>
      <xdr:col>22</xdr:col>
      <xdr:colOff>116458</xdr:colOff>
      <xdr:row>35</xdr:row>
      <xdr:rowOff>196585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BD3126-6366-3B85-6D8F-981B604E2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197428</xdr:colOff>
      <xdr:row>1</xdr:row>
      <xdr:rowOff>71437</xdr:rowOff>
    </xdr:from>
    <xdr:to>
      <xdr:col>13</xdr:col>
      <xdr:colOff>226002</xdr:colOff>
      <xdr:row>19</xdr:row>
      <xdr:rowOff>11257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2B7DE-B6E6-5033-5206-30FD9ECF4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341880</xdr:colOff>
      <xdr:row>18</xdr:row>
      <xdr:rowOff>35394</xdr:rowOff>
    </xdr:from>
    <xdr:to>
      <xdr:col>15</xdr:col>
      <xdr:colOff>416220</xdr:colOff>
      <xdr:row>35</xdr:row>
      <xdr:rowOff>92848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EDA055-B350-FBA8-4CFA-033C8E19A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429624</xdr:colOff>
      <xdr:row>3</xdr:row>
      <xdr:rowOff>0</xdr:rowOff>
    </xdr:from>
    <xdr:to>
      <xdr:col>16</xdr:col>
      <xdr:colOff>160682</xdr:colOff>
      <xdr:row>15</xdr:row>
      <xdr:rowOff>131547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E3B39-A281-CF16-E269-1239F3DCD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391005</xdr:colOff>
      <xdr:row>1</xdr:row>
      <xdr:rowOff>0</xdr:rowOff>
    </xdr:from>
    <xdr:to>
      <xdr:col>32</xdr:col>
      <xdr:colOff>290150</xdr:colOff>
      <xdr:row>25</xdr:row>
      <xdr:rowOff>75880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CD787491-37EE-06F9-52D9-6CBAC500C7C7}"/>
            </a:ext>
          </a:extLst>
        </xdr:cNvPr>
        <xdr:cNvGrpSpPr/>
      </xdr:nvGrpSpPr>
      <xdr:grpSpPr>
        <a:xfrm>
          <a:off x="11392380" y="190500"/>
          <a:ext cx="9186020" cy="4790755"/>
          <a:chOff x="10471176" y="6212541"/>
          <a:chExt cx="9043146" cy="4289132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A150D2D-6214-48C5-9649-365649E7FC07}"/>
              </a:ext>
            </a:extLst>
          </xdr:cNvPr>
          <xdr:cNvGraphicFramePr>
            <a:graphicFrameLocks/>
          </xdr:cNvGraphicFramePr>
        </xdr:nvGraphicFramePr>
        <xdr:xfrm>
          <a:off x="10471176" y="6212541"/>
          <a:ext cx="9043146" cy="42891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789328AE-5447-1F12-5AD0-6D2B098B87C1}"/>
              </a:ext>
            </a:extLst>
          </xdr:cNvPr>
          <xdr:cNvCxnSpPr/>
        </xdr:nvCxnSpPr>
        <xdr:spPr>
          <a:xfrm flipH="1" flipV="1">
            <a:off x="11925300" y="6600825"/>
            <a:ext cx="613682" cy="156483"/>
          </a:xfrm>
          <a:prstGeom prst="straightConnector1">
            <a:avLst/>
          </a:prstGeom>
          <a:ln w="57150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E8EDD14-A5A6-3D4D-ED70-9BBA7799E208}"/>
              </a:ext>
            </a:extLst>
          </xdr:cNvPr>
          <xdr:cNvSpPr txBox="1"/>
        </xdr:nvSpPr>
        <xdr:spPr>
          <a:xfrm>
            <a:off x="12511768" y="6569530"/>
            <a:ext cx="786493" cy="391885"/>
          </a:xfrm>
          <a:prstGeom prst="rect">
            <a:avLst/>
          </a:prstGeom>
          <a:solidFill>
            <a:schemeClr val="bg1"/>
          </a:solidFill>
          <a:ln w="5715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AU" sz="1800"/>
              <a:t>Noah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4C02ADD-54C6-408A-8AFD-19695DA36E4D}"/>
              </a:ext>
            </a:extLst>
          </xdr:cNvPr>
          <xdr:cNvSpPr txBox="1"/>
        </xdr:nvSpPr>
        <xdr:spPr>
          <a:xfrm>
            <a:off x="13628262" y="7640294"/>
            <a:ext cx="1133417" cy="391056"/>
          </a:xfrm>
          <a:prstGeom prst="rect">
            <a:avLst/>
          </a:prstGeom>
          <a:solidFill>
            <a:schemeClr val="bg1"/>
          </a:solidFill>
          <a:ln w="5715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AU" sz="1800"/>
              <a:t>Abraham</a:t>
            </a:r>
          </a:p>
        </xdr:txBody>
      </xdr: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8C6E714A-349E-4CEA-A85B-CE0C10B8829F}"/>
              </a:ext>
            </a:extLst>
          </xdr:cNvPr>
          <xdr:cNvCxnSpPr>
            <a:stCxn id="8" idx="2"/>
          </xdr:cNvCxnSpPr>
        </xdr:nvCxnSpPr>
        <xdr:spPr>
          <a:xfrm flipH="1">
            <a:off x="13744575" y="8031350"/>
            <a:ext cx="450396" cy="912625"/>
          </a:xfrm>
          <a:prstGeom prst="straightConnector1">
            <a:avLst/>
          </a:prstGeom>
          <a:ln w="57150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DC2F0A8-A551-424F-B2AC-68249CB50A08}"/>
              </a:ext>
            </a:extLst>
          </xdr:cNvPr>
          <xdr:cNvSpPr txBox="1"/>
        </xdr:nvSpPr>
        <xdr:spPr>
          <a:xfrm>
            <a:off x="14611350" y="8181562"/>
            <a:ext cx="875471" cy="391056"/>
          </a:xfrm>
          <a:prstGeom prst="rect">
            <a:avLst/>
          </a:prstGeom>
          <a:solidFill>
            <a:schemeClr val="bg1"/>
          </a:solidFill>
          <a:ln w="5715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AU" sz="1800"/>
              <a:t>Moses</a:t>
            </a:r>
          </a:p>
        </xdr:txBody>
      </xdr: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E2395127-6C57-40ED-8987-AF18506ABC35}"/>
              </a:ext>
            </a:extLst>
          </xdr:cNvPr>
          <xdr:cNvCxnSpPr>
            <a:stCxn id="13" idx="2"/>
          </xdr:cNvCxnSpPr>
        </xdr:nvCxnSpPr>
        <xdr:spPr>
          <a:xfrm flipH="1">
            <a:off x="14887575" y="8572618"/>
            <a:ext cx="161511" cy="533282"/>
          </a:xfrm>
          <a:prstGeom prst="straightConnector1">
            <a:avLst/>
          </a:prstGeom>
          <a:ln w="57150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BC9AA35-0BA2-41B5-B80E-AD85BDF21C7E}"/>
              </a:ext>
            </a:extLst>
          </xdr:cNvPr>
          <xdr:cNvSpPr txBox="1"/>
        </xdr:nvSpPr>
        <xdr:spPr>
          <a:xfrm>
            <a:off x="15773400" y="8362950"/>
            <a:ext cx="799271" cy="391056"/>
          </a:xfrm>
          <a:prstGeom prst="rect">
            <a:avLst/>
          </a:prstGeom>
          <a:solidFill>
            <a:schemeClr val="bg1"/>
          </a:solidFill>
          <a:ln w="5715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AU" sz="1800"/>
              <a:t>David</a:t>
            </a:r>
          </a:p>
        </xdr:txBody>
      </xdr: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E334B37F-D438-46AB-8B22-942A5B3DE9AE}"/>
              </a:ext>
            </a:extLst>
          </xdr:cNvPr>
          <xdr:cNvCxnSpPr/>
        </xdr:nvCxnSpPr>
        <xdr:spPr>
          <a:xfrm>
            <a:off x="16163925" y="8734425"/>
            <a:ext cx="38100" cy="523875"/>
          </a:xfrm>
          <a:prstGeom prst="straightConnector1">
            <a:avLst/>
          </a:prstGeom>
          <a:ln w="57150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381ACBD5-55DD-4C80-9B94-F34C6C036F22}"/>
              </a:ext>
            </a:extLst>
          </xdr:cNvPr>
          <xdr:cNvSpPr txBox="1"/>
        </xdr:nvSpPr>
        <xdr:spPr>
          <a:xfrm>
            <a:off x="17821275" y="8277225"/>
            <a:ext cx="1066800" cy="391056"/>
          </a:xfrm>
          <a:prstGeom prst="rect">
            <a:avLst/>
          </a:prstGeom>
          <a:solidFill>
            <a:schemeClr val="bg1"/>
          </a:solidFill>
          <a:ln w="5715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AU" sz="1800"/>
              <a:t>Hezekiah</a:t>
            </a:r>
          </a:p>
        </xdr:txBody>
      </xdr:sp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73EAF9AF-02E1-4902-9CDE-4881BCBC67D9}"/>
              </a:ext>
            </a:extLst>
          </xdr:cNvPr>
          <xdr:cNvCxnSpPr/>
        </xdr:nvCxnSpPr>
        <xdr:spPr>
          <a:xfrm>
            <a:off x="18507075" y="8667750"/>
            <a:ext cx="142875" cy="647700"/>
          </a:xfrm>
          <a:prstGeom prst="straightConnector1">
            <a:avLst/>
          </a:prstGeom>
          <a:ln w="57150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261937</xdr:colOff>
      <xdr:row>26</xdr:row>
      <xdr:rowOff>95250</xdr:rowOff>
    </xdr:from>
    <xdr:to>
      <xdr:col>23</xdr:col>
      <xdr:colOff>340178</xdr:colOff>
      <xdr:row>53</xdr:row>
      <xdr:rowOff>99494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600C0DE8-5707-A382-C29F-4D7169331499}"/>
            </a:ext>
          </a:extLst>
        </xdr:cNvPr>
        <xdr:cNvGrpSpPr/>
      </xdr:nvGrpSpPr>
      <xdr:grpSpPr>
        <a:xfrm>
          <a:off x="6310312" y="5191125"/>
          <a:ext cx="8745991" cy="5147744"/>
          <a:chOff x="5845828" y="13276491"/>
          <a:chExt cx="12981254" cy="7587503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2DEB6D8E-7DB5-4C49-AFB6-B6A9E9CD68F5}"/>
              </a:ext>
            </a:extLst>
          </xdr:cNvPr>
          <xdr:cNvGrpSpPr/>
        </xdr:nvGrpSpPr>
        <xdr:grpSpPr>
          <a:xfrm>
            <a:off x="5845828" y="13276491"/>
            <a:ext cx="12981254" cy="7587503"/>
            <a:chOff x="10377527" y="6258693"/>
            <a:chExt cx="9043146" cy="4289132"/>
          </a:xfrm>
        </xdr:grpSpPr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831E2130-009F-89E8-5840-E24BCED9E97D}"/>
                </a:ext>
              </a:extLst>
            </xdr:cNvPr>
            <xdr:cNvGraphicFramePr>
              <a:graphicFrameLocks/>
            </xdr:cNvGraphicFramePr>
          </xdr:nvGraphicFramePr>
          <xdr:xfrm>
            <a:off x="10377527" y="6258693"/>
            <a:ext cx="9043146" cy="428913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FFE6732C-15BC-AFD4-87F9-CC790F80A45D}"/>
                </a:ext>
              </a:extLst>
            </xdr:cNvPr>
            <xdr:cNvCxnSpPr/>
          </xdr:nvCxnSpPr>
          <xdr:spPr>
            <a:xfrm flipH="1">
              <a:off x="13182839" y="6979018"/>
              <a:ext cx="433421" cy="120922"/>
            </a:xfrm>
            <a:prstGeom prst="straightConnector1">
              <a:avLst/>
            </a:prstGeom>
            <a:ln w="57150">
              <a:solidFill>
                <a:sysClr val="windowText" lastClr="00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B0E6741-F6EE-0292-C507-F4AC960DA295}"/>
                </a:ext>
              </a:extLst>
            </xdr:cNvPr>
            <xdr:cNvSpPr txBox="1"/>
          </xdr:nvSpPr>
          <xdr:spPr>
            <a:xfrm>
              <a:off x="13596853" y="6829248"/>
              <a:ext cx="786493" cy="260675"/>
            </a:xfrm>
            <a:prstGeom prst="rect">
              <a:avLst/>
            </a:prstGeom>
            <a:solidFill>
              <a:schemeClr val="bg1"/>
            </a:solidFill>
            <a:ln w="57150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800"/>
                <a:t>Noah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971CF956-500B-F424-E897-6807D9D6ADF9}"/>
                </a:ext>
              </a:extLst>
            </xdr:cNvPr>
            <xdr:cNvSpPr txBox="1"/>
          </xdr:nvSpPr>
          <xdr:spPr>
            <a:xfrm>
              <a:off x="13930241" y="8200879"/>
              <a:ext cx="1092802" cy="263629"/>
            </a:xfrm>
            <a:prstGeom prst="rect">
              <a:avLst/>
            </a:prstGeom>
            <a:solidFill>
              <a:schemeClr val="bg1"/>
            </a:solidFill>
            <a:ln w="57150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800"/>
                <a:t>Abraham</a:t>
              </a:r>
            </a:p>
          </xdr:txBody>
        </xdr: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8C21BF08-2CB5-9C6A-4A2F-8B4B349DA59D}"/>
                </a:ext>
              </a:extLst>
            </xdr:cNvPr>
            <xdr:cNvCxnSpPr/>
          </xdr:nvCxnSpPr>
          <xdr:spPr>
            <a:xfrm>
              <a:off x="14447405" y="8468532"/>
              <a:ext cx="165592" cy="750396"/>
            </a:xfrm>
            <a:prstGeom prst="straightConnector1">
              <a:avLst/>
            </a:prstGeom>
            <a:ln w="57150">
              <a:solidFill>
                <a:sysClr val="windowText" lastClr="00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CCAD9BA-E74F-3F23-8F59-0EA3A9B3B2AA}"/>
                </a:ext>
              </a:extLst>
            </xdr:cNvPr>
            <xdr:cNvSpPr txBox="1"/>
          </xdr:nvSpPr>
          <xdr:spPr>
            <a:xfrm>
              <a:off x="15017282" y="8783345"/>
              <a:ext cx="935864" cy="257622"/>
            </a:xfrm>
            <a:prstGeom prst="rect">
              <a:avLst/>
            </a:prstGeom>
            <a:solidFill>
              <a:schemeClr val="bg1"/>
            </a:solidFill>
            <a:ln w="57150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800"/>
                <a:t>Moses</a:t>
              </a:r>
            </a:p>
          </xdr:txBody>
        </xdr: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8C9605A0-D501-8098-C4EA-3EAE329BA921}"/>
                </a:ext>
              </a:extLst>
            </xdr:cNvPr>
            <xdr:cNvCxnSpPr>
              <a:stCxn id="38" idx="2"/>
            </xdr:cNvCxnSpPr>
          </xdr:nvCxnSpPr>
          <xdr:spPr>
            <a:xfrm>
              <a:off x="15485214" y="9040967"/>
              <a:ext cx="47886" cy="320814"/>
            </a:xfrm>
            <a:prstGeom prst="straightConnector1">
              <a:avLst/>
            </a:prstGeom>
            <a:ln w="57150">
              <a:solidFill>
                <a:sysClr val="windowText" lastClr="00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6D9CD9D-05B5-511E-73FB-8A6CBD4A1C40}"/>
                </a:ext>
              </a:extLst>
            </xdr:cNvPr>
            <xdr:cNvSpPr txBox="1"/>
          </xdr:nvSpPr>
          <xdr:spPr>
            <a:xfrm>
              <a:off x="16188725" y="8496855"/>
              <a:ext cx="834540" cy="253602"/>
            </a:xfrm>
            <a:prstGeom prst="rect">
              <a:avLst/>
            </a:prstGeom>
            <a:solidFill>
              <a:schemeClr val="bg1"/>
            </a:solidFill>
            <a:ln w="57150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800"/>
                <a:t>David</a:t>
              </a:r>
            </a:p>
          </xdr:txBody>
        </xdr: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A9D5615F-DE57-A5E7-3F74-F2A687D8AFAC}"/>
                </a:ext>
              </a:extLst>
            </xdr:cNvPr>
            <xdr:cNvCxnSpPr>
              <a:stCxn id="40" idx="2"/>
            </xdr:cNvCxnSpPr>
          </xdr:nvCxnSpPr>
          <xdr:spPr>
            <a:xfrm flipH="1">
              <a:off x="16563214" y="8750457"/>
              <a:ext cx="42782" cy="762115"/>
            </a:xfrm>
            <a:prstGeom prst="straightConnector1">
              <a:avLst/>
            </a:prstGeom>
            <a:ln w="57150">
              <a:solidFill>
                <a:sysClr val="windowText" lastClr="00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068A460-497D-8F12-7FC3-FFD38E8674B9}"/>
                </a:ext>
              </a:extLst>
            </xdr:cNvPr>
            <xdr:cNvSpPr txBox="1"/>
          </xdr:nvSpPr>
          <xdr:spPr>
            <a:xfrm>
              <a:off x="17803351" y="8614052"/>
              <a:ext cx="1124004" cy="275981"/>
            </a:xfrm>
            <a:prstGeom prst="rect">
              <a:avLst/>
            </a:prstGeom>
            <a:solidFill>
              <a:schemeClr val="bg1"/>
            </a:solidFill>
            <a:ln w="57150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800"/>
                <a:t>Hezekiah</a:t>
              </a:r>
            </a:p>
          </xdr:txBody>
        </xdr:sp>
        <xdr:cxnSp macro="">
          <xdr:nvCxnSpPr>
            <xdr:cNvPr id="43" name="Straight Arrow Connector 42">
              <a:extLst>
                <a:ext uri="{FF2B5EF4-FFF2-40B4-BE49-F238E27FC236}">
                  <a16:creationId xmlns:a16="http://schemas.microsoft.com/office/drawing/2014/main" id="{83638685-11BC-BE5F-7DD2-404BE99918CF}"/>
                </a:ext>
              </a:extLst>
            </xdr:cNvPr>
            <xdr:cNvCxnSpPr>
              <a:stCxn id="42" idx="2"/>
            </xdr:cNvCxnSpPr>
          </xdr:nvCxnSpPr>
          <xdr:spPr>
            <a:xfrm>
              <a:off x="18365354" y="8890033"/>
              <a:ext cx="149193" cy="696802"/>
            </a:xfrm>
            <a:prstGeom prst="straightConnector1">
              <a:avLst/>
            </a:prstGeom>
            <a:ln w="57150">
              <a:solidFill>
                <a:sysClr val="windowText" lastClr="00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9DA8732-DE6D-4ED8-A5BD-0FA9BEC3E78C}"/>
              </a:ext>
            </a:extLst>
          </xdr:cNvPr>
          <xdr:cNvSpPr txBox="1"/>
        </xdr:nvSpPr>
        <xdr:spPr>
          <a:xfrm>
            <a:off x="7764790" y="16696351"/>
            <a:ext cx="1304049" cy="461136"/>
          </a:xfrm>
          <a:prstGeom prst="rect">
            <a:avLst/>
          </a:prstGeom>
          <a:solidFill>
            <a:schemeClr val="bg1"/>
          </a:solidFill>
          <a:ln w="5715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1800"/>
              <a:t>Enoch</a:t>
            </a:r>
          </a:p>
        </xdr:txBody>
      </xdr:sp>
      <xdr:cxnSp macro="">
        <xdr:nvCxnSpPr>
          <xdr:cNvPr id="56" name="Straight Arrow Connector 55">
            <a:extLst>
              <a:ext uri="{FF2B5EF4-FFF2-40B4-BE49-F238E27FC236}">
                <a16:creationId xmlns:a16="http://schemas.microsoft.com/office/drawing/2014/main" id="{38CE7ACB-0F04-4627-A2C8-26EDFFDA97D2}"/>
              </a:ext>
            </a:extLst>
          </xdr:cNvPr>
          <xdr:cNvCxnSpPr>
            <a:stCxn id="55" idx="2"/>
          </xdr:cNvCxnSpPr>
        </xdr:nvCxnSpPr>
        <xdr:spPr>
          <a:xfrm>
            <a:off x="8416814" y="17157487"/>
            <a:ext cx="537173" cy="457162"/>
          </a:xfrm>
          <a:prstGeom prst="straightConnector1">
            <a:avLst/>
          </a:prstGeom>
          <a:ln w="57150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E1E7478B-0E8C-4F5F-972D-25D7B1966164}"/>
              </a:ext>
            </a:extLst>
          </xdr:cNvPr>
          <xdr:cNvSpPr txBox="1"/>
        </xdr:nvSpPr>
        <xdr:spPr>
          <a:xfrm>
            <a:off x="7708572" y="13718833"/>
            <a:ext cx="1128996" cy="461136"/>
          </a:xfrm>
          <a:prstGeom prst="rect">
            <a:avLst/>
          </a:prstGeom>
          <a:solidFill>
            <a:schemeClr val="bg1"/>
          </a:solidFill>
          <a:ln w="5715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AU" sz="1800"/>
              <a:t>Adam</a:t>
            </a:r>
          </a:p>
        </xdr:txBody>
      </xdr: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25224F90-69D4-4E5C-A145-5FD0DEC1292F}"/>
              </a:ext>
            </a:extLst>
          </xdr:cNvPr>
          <xdr:cNvCxnSpPr>
            <a:stCxn id="59" idx="2"/>
          </xdr:cNvCxnSpPr>
        </xdr:nvCxnSpPr>
        <xdr:spPr>
          <a:xfrm flipH="1">
            <a:off x="7877258" y="14179969"/>
            <a:ext cx="395811" cy="612771"/>
          </a:xfrm>
          <a:prstGeom prst="straightConnector1">
            <a:avLst/>
          </a:prstGeom>
          <a:ln w="57150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ritroyals.com/royaltree.as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en.wikipedia.org/wiki/Family_tree_of_French_monarch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en.wikipedia.org/wiki/Family_tree_of_Japanese_monarch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69E8-82A4-4FD2-B66D-286CA8D260E7}">
  <dimension ref="B1:AI56"/>
  <sheetViews>
    <sheetView tabSelected="1" zoomScale="55" zoomScaleNormal="55" workbookViewId="0">
      <selection activeCell="D26" sqref="D26"/>
    </sheetView>
  </sheetViews>
  <sheetFormatPr defaultRowHeight="15" x14ac:dyDescent="0.25"/>
  <cols>
    <col min="2" max="2" width="13.7109375" customWidth="1"/>
    <col min="3" max="3" width="12.7109375" customWidth="1"/>
    <col min="7" max="8" width="12.7109375" bestFit="1" customWidth="1"/>
    <col min="10" max="10" width="17.140625" customWidth="1"/>
    <col min="11" max="11" width="10" bestFit="1" customWidth="1"/>
    <col min="13" max="13" width="11" customWidth="1"/>
    <col min="18" max="18" width="17.140625" customWidth="1"/>
    <col min="23" max="23" width="12.42578125" customWidth="1"/>
    <col min="24" max="24" width="9.5703125" customWidth="1"/>
    <col min="33" max="33" width="14.85546875" bestFit="1" customWidth="1"/>
    <col min="35" max="35" width="24" customWidth="1"/>
  </cols>
  <sheetData>
    <row r="1" spans="2:24" ht="15.75" thickBot="1" x14ac:dyDescent="0.3"/>
    <row r="2" spans="2:24" ht="15.75" thickBot="1" x14ac:dyDescent="0.3">
      <c r="B2" s="1" t="s">
        <v>0</v>
      </c>
      <c r="C2" s="1"/>
      <c r="D2" s="33" t="s">
        <v>16</v>
      </c>
      <c r="E2" s="34"/>
      <c r="F2" s="34"/>
      <c r="G2" s="35" t="s">
        <v>17</v>
      </c>
      <c r="H2" s="35"/>
      <c r="I2" s="35"/>
      <c r="J2" s="35" t="s">
        <v>18</v>
      </c>
      <c r="K2" s="35"/>
      <c r="L2" s="35"/>
      <c r="M2" s="35" t="s">
        <v>19</v>
      </c>
      <c r="N2" s="35"/>
      <c r="O2" s="35"/>
      <c r="R2" s="29" t="s">
        <v>184</v>
      </c>
    </row>
    <row r="3" spans="2:24" ht="39.75" thickBot="1" x14ac:dyDescent="0.3">
      <c r="B3" s="1" t="s">
        <v>206</v>
      </c>
      <c r="C3" s="1" t="s">
        <v>2</v>
      </c>
      <c r="D3" s="1" t="s">
        <v>3</v>
      </c>
      <c r="E3" s="1" t="s">
        <v>210</v>
      </c>
      <c r="F3" s="8" t="s">
        <v>207</v>
      </c>
      <c r="G3" s="1" t="s">
        <v>3</v>
      </c>
      <c r="H3" s="1" t="s">
        <v>210</v>
      </c>
      <c r="I3" s="8" t="s">
        <v>4</v>
      </c>
      <c r="J3" s="1" t="s">
        <v>3</v>
      </c>
      <c r="K3" s="1" t="s">
        <v>210</v>
      </c>
      <c r="L3" s="8" t="s">
        <v>4</v>
      </c>
      <c r="M3" s="1" t="s">
        <v>3</v>
      </c>
      <c r="N3" s="1" t="s">
        <v>210</v>
      </c>
      <c r="O3" s="8" t="s">
        <v>4</v>
      </c>
      <c r="R3" t="s">
        <v>32</v>
      </c>
      <c r="S3" t="s">
        <v>144</v>
      </c>
      <c r="T3" t="s">
        <v>145</v>
      </c>
      <c r="U3" t="s">
        <v>146</v>
      </c>
      <c r="V3" t="s">
        <v>147</v>
      </c>
      <c r="W3" t="s">
        <v>204</v>
      </c>
      <c r="X3" t="s">
        <v>205</v>
      </c>
    </row>
    <row r="4" spans="2:24" ht="15.75" thickBot="1" x14ac:dyDescent="0.3">
      <c r="B4" s="1" t="str">
        <f>R4</f>
        <v>Elizabeth 2</v>
      </c>
      <c r="C4" s="1"/>
      <c r="D4" s="2">
        <f>W4</f>
        <v>22</v>
      </c>
      <c r="E4" s="2">
        <f>X4</f>
        <v>74</v>
      </c>
      <c r="F4" s="9">
        <f>V4</f>
        <v>96</v>
      </c>
      <c r="G4" s="5">
        <f>MOD(D4, 10)</f>
        <v>2</v>
      </c>
      <c r="H4" s="5">
        <f t="shared" ref="H4:I19" si="0">MOD(E4, 10)</f>
        <v>4</v>
      </c>
      <c r="I4" s="5">
        <f t="shared" si="0"/>
        <v>6</v>
      </c>
      <c r="J4">
        <f>MOD(INT(D4/10),10)</f>
        <v>2</v>
      </c>
      <c r="K4">
        <f t="shared" ref="K4:L19" si="1">MOD(INT(E4/10),10)</f>
        <v>7</v>
      </c>
      <c r="L4">
        <f t="shared" si="1"/>
        <v>9</v>
      </c>
      <c r="M4">
        <f>MOD(INT(D4/100),10)</f>
        <v>0</v>
      </c>
      <c r="N4">
        <f t="shared" ref="N4:O19" si="2">MOD(INT(E4/100),10)</f>
        <v>0</v>
      </c>
      <c r="O4">
        <f t="shared" si="2"/>
        <v>0</v>
      </c>
      <c r="Q4">
        <v>1</v>
      </c>
      <c r="R4" t="s">
        <v>185</v>
      </c>
      <c r="S4">
        <v>1926</v>
      </c>
      <c r="T4">
        <v>2022</v>
      </c>
      <c r="U4">
        <v>1948</v>
      </c>
      <c r="V4">
        <f>T4-S4</f>
        <v>96</v>
      </c>
      <c r="W4">
        <f>U4-S4</f>
        <v>22</v>
      </c>
      <c r="X4">
        <f>V4-W4</f>
        <v>74</v>
      </c>
    </row>
    <row r="5" spans="2:24" ht="15.75" thickBot="1" x14ac:dyDescent="0.3">
      <c r="B5" s="1" t="str">
        <f t="shared" ref="B5:B22" si="3">R5</f>
        <v>George 6</v>
      </c>
      <c r="C5" s="1"/>
      <c r="D5" s="2">
        <f t="shared" ref="D5:E22" si="4">W5</f>
        <v>31</v>
      </c>
      <c r="E5" s="2">
        <f t="shared" si="4"/>
        <v>26</v>
      </c>
      <c r="F5" s="9">
        <f t="shared" ref="F5:F22" si="5">V5</f>
        <v>57</v>
      </c>
      <c r="G5" s="5">
        <f t="shared" ref="G5:I22" si="6">MOD(D5, 10)</f>
        <v>1</v>
      </c>
      <c r="H5" s="5">
        <f t="shared" si="0"/>
        <v>6</v>
      </c>
      <c r="I5" s="5">
        <f t="shared" si="0"/>
        <v>7</v>
      </c>
      <c r="J5">
        <f t="shared" ref="J5:K22" si="7">MOD(INT(D5/10),10)</f>
        <v>3</v>
      </c>
      <c r="K5">
        <f t="shared" si="1"/>
        <v>2</v>
      </c>
      <c r="L5">
        <f t="shared" si="1"/>
        <v>5</v>
      </c>
      <c r="M5">
        <f t="shared" ref="M5:O22" si="8">MOD(INT(D5/100),10)</f>
        <v>0</v>
      </c>
      <c r="N5">
        <f t="shared" si="2"/>
        <v>0</v>
      </c>
      <c r="O5">
        <f t="shared" si="2"/>
        <v>0</v>
      </c>
      <c r="Q5">
        <v>2</v>
      </c>
      <c r="R5" t="s">
        <v>186</v>
      </c>
      <c r="S5">
        <v>1895</v>
      </c>
      <c r="T5">
        <v>1952</v>
      </c>
      <c r="U5">
        <f>S4</f>
        <v>1926</v>
      </c>
      <c r="V5">
        <f t="shared" ref="V5:V22" si="9">T5-S5</f>
        <v>57</v>
      </c>
      <c r="W5">
        <f t="shared" ref="W5:W22" si="10">U5-S5</f>
        <v>31</v>
      </c>
      <c r="X5">
        <f t="shared" ref="X5:X22" si="11">V5-W5</f>
        <v>26</v>
      </c>
    </row>
    <row r="6" spans="2:24" ht="15.75" thickBot="1" x14ac:dyDescent="0.3">
      <c r="B6" s="1" t="str">
        <f t="shared" si="3"/>
        <v>George 5</v>
      </c>
      <c r="C6" s="1"/>
      <c r="D6" s="2">
        <f t="shared" si="4"/>
        <v>30</v>
      </c>
      <c r="E6" s="2">
        <f t="shared" si="4"/>
        <v>41</v>
      </c>
      <c r="F6" s="9">
        <f t="shared" si="5"/>
        <v>71</v>
      </c>
      <c r="G6" s="5">
        <f t="shared" si="6"/>
        <v>0</v>
      </c>
      <c r="H6" s="5">
        <f t="shared" si="0"/>
        <v>1</v>
      </c>
      <c r="I6" s="5">
        <f t="shared" si="0"/>
        <v>1</v>
      </c>
      <c r="J6">
        <f t="shared" si="7"/>
        <v>3</v>
      </c>
      <c r="K6">
        <f t="shared" si="1"/>
        <v>4</v>
      </c>
      <c r="L6">
        <f t="shared" si="1"/>
        <v>7</v>
      </c>
      <c r="M6">
        <f t="shared" si="8"/>
        <v>0</v>
      </c>
      <c r="N6">
        <f t="shared" si="2"/>
        <v>0</v>
      </c>
      <c r="O6">
        <f t="shared" si="2"/>
        <v>0</v>
      </c>
      <c r="Q6">
        <v>3</v>
      </c>
      <c r="R6" t="s">
        <v>187</v>
      </c>
      <c r="S6">
        <v>1865</v>
      </c>
      <c r="T6">
        <v>1936</v>
      </c>
      <c r="U6">
        <f t="shared" ref="U6:U22" si="12">S5</f>
        <v>1895</v>
      </c>
      <c r="V6">
        <f t="shared" si="9"/>
        <v>71</v>
      </c>
      <c r="W6">
        <f t="shared" si="10"/>
        <v>30</v>
      </c>
      <c r="X6">
        <f t="shared" si="11"/>
        <v>41</v>
      </c>
    </row>
    <row r="7" spans="2:24" ht="15.75" thickBot="1" x14ac:dyDescent="0.3">
      <c r="B7" s="1" t="str">
        <f t="shared" si="3"/>
        <v>Edward 7</v>
      </c>
      <c r="C7" s="1"/>
      <c r="D7" s="2">
        <f t="shared" si="4"/>
        <v>24</v>
      </c>
      <c r="E7" s="2">
        <f>X7</f>
        <v>45</v>
      </c>
      <c r="F7" s="9">
        <f t="shared" si="5"/>
        <v>69</v>
      </c>
      <c r="G7" s="5">
        <f t="shared" si="6"/>
        <v>4</v>
      </c>
      <c r="H7" s="5">
        <f t="shared" si="0"/>
        <v>5</v>
      </c>
      <c r="I7" s="5">
        <f t="shared" si="0"/>
        <v>9</v>
      </c>
      <c r="J7">
        <f t="shared" si="7"/>
        <v>2</v>
      </c>
      <c r="K7">
        <f t="shared" si="1"/>
        <v>4</v>
      </c>
      <c r="L7">
        <f t="shared" si="1"/>
        <v>6</v>
      </c>
      <c r="M7">
        <f t="shared" si="8"/>
        <v>0</v>
      </c>
      <c r="N7">
        <f t="shared" si="2"/>
        <v>0</v>
      </c>
      <c r="O7">
        <f t="shared" si="2"/>
        <v>0</v>
      </c>
      <c r="Q7">
        <v>4</v>
      </c>
      <c r="R7" t="s">
        <v>188</v>
      </c>
      <c r="S7">
        <v>1841</v>
      </c>
      <c r="T7">
        <v>1910</v>
      </c>
      <c r="U7">
        <f t="shared" si="12"/>
        <v>1865</v>
      </c>
      <c r="V7">
        <f t="shared" si="9"/>
        <v>69</v>
      </c>
      <c r="W7">
        <f t="shared" si="10"/>
        <v>24</v>
      </c>
      <c r="X7">
        <f t="shared" si="11"/>
        <v>45</v>
      </c>
    </row>
    <row r="8" spans="2:24" ht="15.75" thickBot="1" x14ac:dyDescent="0.3">
      <c r="B8" s="1" t="str">
        <f t="shared" si="3"/>
        <v>Victoria</v>
      </c>
      <c r="C8" s="1"/>
      <c r="D8" s="2">
        <f t="shared" si="4"/>
        <v>22</v>
      </c>
      <c r="E8" s="2">
        <f t="shared" si="4"/>
        <v>60</v>
      </c>
      <c r="F8" s="9">
        <f t="shared" si="5"/>
        <v>82</v>
      </c>
      <c r="G8" s="5">
        <f t="shared" si="6"/>
        <v>2</v>
      </c>
      <c r="H8" s="5">
        <f t="shared" si="0"/>
        <v>0</v>
      </c>
      <c r="I8" s="5">
        <f t="shared" si="0"/>
        <v>2</v>
      </c>
      <c r="J8">
        <f t="shared" si="7"/>
        <v>2</v>
      </c>
      <c r="K8">
        <f t="shared" si="1"/>
        <v>6</v>
      </c>
      <c r="L8">
        <f t="shared" si="1"/>
        <v>8</v>
      </c>
      <c r="M8">
        <f t="shared" si="8"/>
        <v>0</v>
      </c>
      <c r="N8">
        <f t="shared" si="2"/>
        <v>0</v>
      </c>
      <c r="O8">
        <f t="shared" si="2"/>
        <v>0</v>
      </c>
      <c r="Q8">
        <v>5</v>
      </c>
      <c r="R8" t="s">
        <v>189</v>
      </c>
      <c r="S8">
        <v>1819</v>
      </c>
      <c r="T8">
        <v>1901</v>
      </c>
      <c r="U8">
        <f t="shared" si="12"/>
        <v>1841</v>
      </c>
      <c r="V8">
        <f t="shared" si="9"/>
        <v>82</v>
      </c>
      <c r="W8">
        <f t="shared" si="10"/>
        <v>22</v>
      </c>
      <c r="X8">
        <f t="shared" si="11"/>
        <v>60</v>
      </c>
    </row>
    <row r="9" spans="2:24" ht="15.75" thickBot="1" x14ac:dyDescent="0.3">
      <c r="B9" s="1" t="str">
        <f t="shared" si="3"/>
        <v>Edward DoK</v>
      </c>
      <c r="C9" s="1"/>
      <c r="D9" s="2">
        <f t="shared" si="4"/>
        <v>52</v>
      </c>
      <c r="E9" s="2">
        <f t="shared" si="4"/>
        <v>1</v>
      </c>
      <c r="F9" s="9">
        <f t="shared" si="5"/>
        <v>53</v>
      </c>
      <c r="G9" s="5">
        <f t="shared" si="6"/>
        <v>2</v>
      </c>
      <c r="H9" s="5">
        <f t="shared" si="0"/>
        <v>1</v>
      </c>
      <c r="I9" s="5">
        <f t="shared" si="0"/>
        <v>3</v>
      </c>
      <c r="J9">
        <f t="shared" si="7"/>
        <v>5</v>
      </c>
      <c r="K9">
        <f t="shared" si="1"/>
        <v>0</v>
      </c>
      <c r="L9">
        <f t="shared" si="1"/>
        <v>5</v>
      </c>
      <c r="M9">
        <f t="shared" si="8"/>
        <v>0</v>
      </c>
      <c r="N9">
        <f t="shared" si="2"/>
        <v>0</v>
      </c>
      <c r="O9">
        <f t="shared" si="2"/>
        <v>0</v>
      </c>
      <c r="Q9">
        <v>6</v>
      </c>
      <c r="R9" t="s">
        <v>190</v>
      </c>
      <c r="S9">
        <v>1767</v>
      </c>
      <c r="T9">
        <v>1820</v>
      </c>
      <c r="U9">
        <f t="shared" si="12"/>
        <v>1819</v>
      </c>
      <c r="V9">
        <f t="shared" si="9"/>
        <v>53</v>
      </c>
      <c r="W9">
        <f t="shared" si="10"/>
        <v>52</v>
      </c>
      <c r="X9">
        <f t="shared" si="11"/>
        <v>1</v>
      </c>
    </row>
    <row r="10" spans="2:24" ht="15.75" thickBot="1" x14ac:dyDescent="0.3">
      <c r="B10" s="1" t="str">
        <f t="shared" si="3"/>
        <v>George 3</v>
      </c>
      <c r="C10" s="1"/>
      <c r="D10" s="2">
        <f t="shared" si="4"/>
        <v>29</v>
      </c>
      <c r="E10" s="2">
        <f t="shared" si="4"/>
        <v>53</v>
      </c>
      <c r="F10" s="9">
        <f t="shared" si="5"/>
        <v>82</v>
      </c>
      <c r="G10" s="5">
        <f t="shared" si="6"/>
        <v>9</v>
      </c>
      <c r="H10" s="5">
        <f t="shared" si="0"/>
        <v>3</v>
      </c>
      <c r="I10" s="5">
        <f t="shared" si="0"/>
        <v>2</v>
      </c>
      <c r="J10">
        <f t="shared" si="7"/>
        <v>2</v>
      </c>
      <c r="K10">
        <f t="shared" si="1"/>
        <v>5</v>
      </c>
      <c r="L10">
        <f t="shared" si="1"/>
        <v>8</v>
      </c>
      <c r="M10">
        <f t="shared" si="8"/>
        <v>0</v>
      </c>
      <c r="N10">
        <f t="shared" si="2"/>
        <v>0</v>
      </c>
      <c r="O10">
        <f t="shared" si="2"/>
        <v>0</v>
      </c>
      <c r="Q10">
        <v>7</v>
      </c>
      <c r="R10" t="s">
        <v>191</v>
      </c>
      <c r="S10">
        <v>1738</v>
      </c>
      <c r="T10">
        <v>1820</v>
      </c>
      <c r="U10">
        <f t="shared" si="12"/>
        <v>1767</v>
      </c>
      <c r="V10">
        <f t="shared" si="9"/>
        <v>82</v>
      </c>
      <c r="W10">
        <f t="shared" si="10"/>
        <v>29</v>
      </c>
      <c r="X10">
        <f t="shared" si="11"/>
        <v>53</v>
      </c>
    </row>
    <row r="11" spans="2:24" ht="27" thickBot="1" x14ac:dyDescent="0.3">
      <c r="B11" s="1" t="str">
        <f t="shared" si="3"/>
        <v>Frederick Hano.</v>
      </c>
      <c r="C11" s="1"/>
      <c r="D11" s="2">
        <f t="shared" si="4"/>
        <v>31</v>
      </c>
      <c r="E11" s="2">
        <f t="shared" si="4"/>
        <v>13</v>
      </c>
      <c r="F11" s="9">
        <f t="shared" si="5"/>
        <v>44</v>
      </c>
      <c r="G11" s="5">
        <f t="shared" si="6"/>
        <v>1</v>
      </c>
      <c r="H11" s="5">
        <f t="shared" si="0"/>
        <v>3</v>
      </c>
      <c r="I11" s="5">
        <f t="shared" si="0"/>
        <v>4</v>
      </c>
      <c r="J11">
        <f t="shared" si="7"/>
        <v>3</v>
      </c>
      <c r="K11">
        <f t="shared" si="1"/>
        <v>1</v>
      </c>
      <c r="L11">
        <f t="shared" si="1"/>
        <v>4</v>
      </c>
      <c r="M11">
        <f t="shared" si="8"/>
        <v>0</v>
      </c>
      <c r="N11">
        <f t="shared" si="2"/>
        <v>0</v>
      </c>
      <c r="O11">
        <f t="shared" si="2"/>
        <v>0</v>
      </c>
      <c r="Q11">
        <v>8</v>
      </c>
      <c r="R11" t="s">
        <v>192</v>
      </c>
      <c r="S11">
        <v>1707</v>
      </c>
      <c r="T11">
        <v>1751</v>
      </c>
      <c r="U11">
        <f t="shared" si="12"/>
        <v>1738</v>
      </c>
      <c r="V11">
        <f t="shared" si="9"/>
        <v>44</v>
      </c>
      <c r="W11">
        <f t="shared" si="10"/>
        <v>31</v>
      </c>
      <c r="X11">
        <f t="shared" si="11"/>
        <v>13</v>
      </c>
    </row>
    <row r="12" spans="2:24" ht="15.75" thickBot="1" x14ac:dyDescent="0.3">
      <c r="B12" s="1" t="str">
        <f t="shared" si="3"/>
        <v>George 2</v>
      </c>
      <c r="C12" s="1"/>
      <c r="D12" s="2">
        <f t="shared" si="4"/>
        <v>24</v>
      </c>
      <c r="E12" s="2">
        <f t="shared" si="4"/>
        <v>53</v>
      </c>
      <c r="F12" s="9">
        <f t="shared" si="5"/>
        <v>77</v>
      </c>
      <c r="G12" s="5">
        <f t="shared" si="6"/>
        <v>4</v>
      </c>
      <c r="H12" s="5">
        <f t="shared" si="0"/>
        <v>3</v>
      </c>
      <c r="I12" s="5">
        <f t="shared" si="0"/>
        <v>7</v>
      </c>
      <c r="J12">
        <f t="shared" si="7"/>
        <v>2</v>
      </c>
      <c r="K12">
        <f t="shared" si="1"/>
        <v>5</v>
      </c>
      <c r="L12">
        <f t="shared" si="1"/>
        <v>7</v>
      </c>
      <c r="M12">
        <f t="shared" si="8"/>
        <v>0</v>
      </c>
      <c r="N12">
        <f t="shared" si="2"/>
        <v>0</v>
      </c>
      <c r="O12">
        <f t="shared" si="2"/>
        <v>0</v>
      </c>
      <c r="Q12">
        <v>9</v>
      </c>
      <c r="R12" t="s">
        <v>193</v>
      </c>
      <c r="S12">
        <v>1683</v>
      </c>
      <c r="T12">
        <v>1760</v>
      </c>
      <c r="U12">
        <f t="shared" si="12"/>
        <v>1707</v>
      </c>
      <c r="V12">
        <f t="shared" si="9"/>
        <v>77</v>
      </c>
      <c r="W12">
        <f t="shared" si="10"/>
        <v>24</v>
      </c>
      <c r="X12">
        <f t="shared" si="11"/>
        <v>53</v>
      </c>
    </row>
    <row r="13" spans="2:24" ht="15.75" thickBot="1" x14ac:dyDescent="0.3">
      <c r="B13" s="1" t="str">
        <f t="shared" si="3"/>
        <v>George 1</v>
      </c>
      <c r="C13" s="3"/>
      <c r="D13" s="2">
        <f t="shared" si="4"/>
        <v>23</v>
      </c>
      <c r="E13" s="2">
        <f t="shared" si="4"/>
        <v>44</v>
      </c>
      <c r="F13" s="9">
        <f t="shared" si="5"/>
        <v>67</v>
      </c>
      <c r="G13" s="5">
        <f t="shared" si="6"/>
        <v>3</v>
      </c>
      <c r="H13" s="5">
        <f t="shared" si="0"/>
        <v>4</v>
      </c>
      <c r="I13" s="5">
        <f t="shared" si="0"/>
        <v>7</v>
      </c>
      <c r="J13">
        <f t="shared" si="7"/>
        <v>2</v>
      </c>
      <c r="K13">
        <f t="shared" si="1"/>
        <v>4</v>
      </c>
      <c r="L13">
        <f t="shared" si="1"/>
        <v>6</v>
      </c>
      <c r="M13">
        <f t="shared" si="8"/>
        <v>0</v>
      </c>
      <c r="N13">
        <f t="shared" si="2"/>
        <v>0</v>
      </c>
      <c r="O13">
        <f t="shared" si="2"/>
        <v>0</v>
      </c>
      <c r="Q13">
        <v>10</v>
      </c>
      <c r="R13" t="s">
        <v>194</v>
      </c>
      <c r="S13">
        <v>1660</v>
      </c>
      <c r="T13">
        <v>1727</v>
      </c>
      <c r="U13">
        <f t="shared" si="12"/>
        <v>1683</v>
      </c>
      <c r="V13">
        <f t="shared" si="9"/>
        <v>67</v>
      </c>
      <c r="W13">
        <f t="shared" si="10"/>
        <v>23</v>
      </c>
      <c r="X13">
        <f t="shared" si="11"/>
        <v>44</v>
      </c>
    </row>
    <row r="14" spans="2:24" ht="15.75" thickBot="1" x14ac:dyDescent="0.3">
      <c r="B14" s="1" t="str">
        <f t="shared" si="3"/>
        <v>Sophia Hano.</v>
      </c>
      <c r="C14" s="1"/>
      <c r="D14" s="2">
        <f t="shared" si="4"/>
        <v>30</v>
      </c>
      <c r="E14" s="2">
        <f t="shared" si="4"/>
        <v>54</v>
      </c>
      <c r="F14" s="9">
        <f t="shared" si="5"/>
        <v>84</v>
      </c>
      <c r="G14" s="5">
        <f t="shared" si="6"/>
        <v>0</v>
      </c>
      <c r="H14" s="5">
        <f t="shared" si="0"/>
        <v>4</v>
      </c>
      <c r="I14" s="5">
        <f t="shared" si="0"/>
        <v>4</v>
      </c>
      <c r="J14">
        <f t="shared" si="7"/>
        <v>3</v>
      </c>
      <c r="K14">
        <f t="shared" si="1"/>
        <v>5</v>
      </c>
      <c r="L14">
        <f t="shared" si="1"/>
        <v>8</v>
      </c>
      <c r="M14">
        <f t="shared" si="8"/>
        <v>0</v>
      </c>
      <c r="N14">
        <f t="shared" si="2"/>
        <v>0</v>
      </c>
      <c r="O14">
        <f t="shared" si="2"/>
        <v>0</v>
      </c>
      <c r="Q14">
        <v>11</v>
      </c>
      <c r="R14" t="s">
        <v>195</v>
      </c>
      <c r="S14">
        <v>1630</v>
      </c>
      <c r="T14">
        <v>1714</v>
      </c>
      <c r="U14">
        <f t="shared" si="12"/>
        <v>1660</v>
      </c>
      <c r="V14">
        <f t="shared" si="9"/>
        <v>84</v>
      </c>
      <c r="W14">
        <f t="shared" si="10"/>
        <v>30</v>
      </c>
      <c r="X14">
        <f t="shared" si="11"/>
        <v>54</v>
      </c>
    </row>
    <row r="15" spans="2:24" ht="27" thickBot="1" x14ac:dyDescent="0.3">
      <c r="B15" s="1" t="str">
        <f t="shared" si="3"/>
        <v>Elizabeth Stuart</v>
      </c>
      <c r="C15" s="1"/>
      <c r="D15" s="2">
        <f t="shared" si="4"/>
        <v>34</v>
      </c>
      <c r="E15" s="2">
        <f t="shared" si="4"/>
        <v>32</v>
      </c>
      <c r="F15" s="9">
        <f t="shared" si="5"/>
        <v>66</v>
      </c>
      <c r="G15" s="5">
        <f t="shared" si="6"/>
        <v>4</v>
      </c>
      <c r="H15" s="5">
        <f t="shared" si="0"/>
        <v>2</v>
      </c>
      <c r="I15" s="5">
        <f t="shared" si="0"/>
        <v>6</v>
      </c>
      <c r="J15">
        <f t="shared" si="7"/>
        <v>3</v>
      </c>
      <c r="K15">
        <f t="shared" si="1"/>
        <v>3</v>
      </c>
      <c r="L15">
        <f t="shared" si="1"/>
        <v>6</v>
      </c>
      <c r="M15">
        <f t="shared" si="8"/>
        <v>0</v>
      </c>
      <c r="N15">
        <f t="shared" si="2"/>
        <v>0</v>
      </c>
      <c r="O15">
        <f t="shared" si="2"/>
        <v>0</v>
      </c>
      <c r="Q15">
        <v>12</v>
      </c>
      <c r="R15" t="s">
        <v>196</v>
      </c>
      <c r="S15">
        <v>1596</v>
      </c>
      <c r="T15">
        <v>1662</v>
      </c>
      <c r="U15">
        <f t="shared" si="12"/>
        <v>1630</v>
      </c>
      <c r="V15">
        <f t="shared" si="9"/>
        <v>66</v>
      </c>
      <c r="W15">
        <f t="shared" si="10"/>
        <v>34</v>
      </c>
      <c r="X15">
        <f t="shared" si="11"/>
        <v>32</v>
      </c>
    </row>
    <row r="16" spans="2:24" ht="15.75" thickBot="1" x14ac:dyDescent="0.3">
      <c r="B16" s="1" t="str">
        <f t="shared" si="3"/>
        <v>James 6 Sco.</v>
      </c>
      <c r="C16" s="1"/>
      <c r="D16" s="2">
        <f t="shared" si="4"/>
        <v>30</v>
      </c>
      <c r="E16" s="2">
        <f t="shared" si="4"/>
        <v>29</v>
      </c>
      <c r="F16" s="9">
        <f t="shared" si="5"/>
        <v>59</v>
      </c>
      <c r="G16" s="5">
        <f t="shared" si="6"/>
        <v>0</v>
      </c>
      <c r="H16" s="5">
        <f t="shared" si="0"/>
        <v>9</v>
      </c>
      <c r="I16" s="5">
        <f t="shared" si="0"/>
        <v>9</v>
      </c>
      <c r="J16">
        <f t="shared" si="7"/>
        <v>3</v>
      </c>
      <c r="K16">
        <f t="shared" si="1"/>
        <v>2</v>
      </c>
      <c r="L16">
        <f t="shared" si="1"/>
        <v>5</v>
      </c>
      <c r="M16">
        <f t="shared" si="8"/>
        <v>0</v>
      </c>
      <c r="N16">
        <f t="shared" si="2"/>
        <v>0</v>
      </c>
      <c r="O16">
        <f t="shared" si="2"/>
        <v>0</v>
      </c>
      <c r="Q16">
        <v>13</v>
      </c>
      <c r="R16" t="s">
        <v>197</v>
      </c>
      <c r="S16">
        <v>1566</v>
      </c>
      <c r="T16">
        <v>1625</v>
      </c>
      <c r="U16">
        <f t="shared" si="12"/>
        <v>1596</v>
      </c>
      <c r="V16">
        <f t="shared" si="9"/>
        <v>59</v>
      </c>
      <c r="W16">
        <f t="shared" si="10"/>
        <v>30</v>
      </c>
      <c r="X16">
        <f t="shared" si="11"/>
        <v>29</v>
      </c>
    </row>
    <row r="17" spans="2:35" ht="15.75" thickBot="1" x14ac:dyDescent="0.3">
      <c r="B17" s="1" t="str">
        <f t="shared" si="3"/>
        <v>Mary QoS</v>
      </c>
      <c r="C17" s="1"/>
      <c r="D17" s="2">
        <f t="shared" si="4"/>
        <v>24</v>
      </c>
      <c r="E17" s="2">
        <f t="shared" si="4"/>
        <v>21</v>
      </c>
      <c r="F17" s="9">
        <f t="shared" si="5"/>
        <v>45</v>
      </c>
      <c r="G17" s="5">
        <f t="shared" si="6"/>
        <v>4</v>
      </c>
      <c r="H17" s="5">
        <f t="shared" si="0"/>
        <v>1</v>
      </c>
      <c r="I17" s="5">
        <f t="shared" si="0"/>
        <v>5</v>
      </c>
      <c r="J17">
        <f t="shared" si="7"/>
        <v>2</v>
      </c>
      <c r="K17">
        <f t="shared" si="1"/>
        <v>2</v>
      </c>
      <c r="L17">
        <f t="shared" si="1"/>
        <v>4</v>
      </c>
      <c r="M17">
        <f t="shared" si="8"/>
        <v>0</v>
      </c>
      <c r="N17">
        <f t="shared" si="2"/>
        <v>0</v>
      </c>
      <c r="O17">
        <f t="shared" si="2"/>
        <v>0</v>
      </c>
      <c r="Q17">
        <v>14</v>
      </c>
      <c r="R17" t="s">
        <v>198</v>
      </c>
      <c r="S17">
        <v>1542</v>
      </c>
      <c r="T17">
        <v>1587</v>
      </c>
      <c r="U17">
        <f t="shared" si="12"/>
        <v>1566</v>
      </c>
      <c r="V17">
        <f t="shared" si="9"/>
        <v>45</v>
      </c>
      <c r="W17">
        <f t="shared" si="10"/>
        <v>24</v>
      </c>
      <c r="X17">
        <f t="shared" si="11"/>
        <v>21</v>
      </c>
    </row>
    <row r="18" spans="2:35" ht="15.75" thickBot="1" x14ac:dyDescent="0.3">
      <c r="B18" s="1" t="str">
        <f t="shared" si="3"/>
        <v>James 5 Sco.</v>
      </c>
      <c r="C18" s="1"/>
      <c r="D18" s="2">
        <f t="shared" si="4"/>
        <v>30</v>
      </c>
      <c r="E18" s="2">
        <f t="shared" si="4"/>
        <v>0</v>
      </c>
      <c r="F18" s="9">
        <f t="shared" si="5"/>
        <v>30</v>
      </c>
      <c r="G18" s="5">
        <f t="shared" si="6"/>
        <v>0</v>
      </c>
      <c r="H18" s="5">
        <f t="shared" si="0"/>
        <v>0</v>
      </c>
      <c r="I18" s="5">
        <f t="shared" si="0"/>
        <v>0</v>
      </c>
      <c r="J18">
        <f t="shared" si="7"/>
        <v>3</v>
      </c>
      <c r="K18">
        <f t="shared" si="1"/>
        <v>0</v>
      </c>
      <c r="L18">
        <f t="shared" si="1"/>
        <v>3</v>
      </c>
      <c r="M18">
        <f t="shared" si="8"/>
        <v>0</v>
      </c>
      <c r="N18">
        <f t="shared" si="2"/>
        <v>0</v>
      </c>
      <c r="O18">
        <f t="shared" si="2"/>
        <v>0</v>
      </c>
      <c r="Q18">
        <v>15</v>
      </c>
      <c r="R18" t="s">
        <v>199</v>
      </c>
      <c r="S18">
        <v>1512</v>
      </c>
      <c r="T18">
        <v>1542</v>
      </c>
      <c r="U18">
        <f t="shared" si="12"/>
        <v>1542</v>
      </c>
      <c r="V18">
        <f t="shared" si="9"/>
        <v>30</v>
      </c>
      <c r="W18">
        <f t="shared" si="10"/>
        <v>30</v>
      </c>
      <c r="X18">
        <f t="shared" si="11"/>
        <v>0</v>
      </c>
    </row>
    <row r="19" spans="2:35" ht="15.75" thickBot="1" x14ac:dyDescent="0.3">
      <c r="B19" s="1" t="str">
        <f t="shared" si="3"/>
        <v>Margaret Tudor</v>
      </c>
      <c r="C19" s="1"/>
      <c r="D19" s="2">
        <f t="shared" si="4"/>
        <v>23</v>
      </c>
      <c r="E19" s="2">
        <f t="shared" si="4"/>
        <v>29</v>
      </c>
      <c r="F19" s="9">
        <f t="shared" si="5"/>
        <v>52</v>
      </c>
      <c r="G19" s="5">
        <f t="shared" si="6"/>
        <v>3</v>
      </c>
      <c r="H19" s="5">
        <f t="shared" si="0"/>
        <v>9</v>
      </c>
      <c r="I19" s="5">
        <f t="shared" si="0"/>
        <v>2</v>
      </c>
      <c r="J19">
        <f t="shared" si="7"/>
        <v>2</v>
      </c>
      <c r="K19">
        <f t="shared" si="1"/>
        <v>2</v>
      </c>
      <c r="L19">
        <f t="shared" si="1"/>
        <v>5</v>
      </c>
      <c r="M19">
        <f t="shared" si="8"/>
        <v>0</v>
      </c>
      <c r="N19">
        <f t="shared" si="2"/>
        <v>0</v>
      </c>
      <c r="O19">
        <f t="shared" si="2"/>
        <v>0</v>
      </c>
      <c r="Q19">
        <v>16</v>
      </c>
      <c r="R19" t="s">
        <v>200</v>
      </c>
      <c r="S19">
        <v>1489</v>
      </c>
      <c r="T19">
        <v>1541</v>
      </c>
      <c r="U19">
        <f t="shared" si="12"/>
        <v>1512</v>
      </c>
      <c r="V19">
        <f t="shared" si="9"/>
        <v>52</v>
      </c>
      <c r="W19">
        <f t="shared" si="10"/>
        <v>23</v>
      </c>
      <c r="X19">
        <f t="shared" si="11"/>
        <v>29</v>
      </c>
    </row>
    <row r="20" spans="2:35" ht="15.75" thickBot="1" x14ac:dyDescent="0.3">
      <c r="B20" s="1" t="str">
        <f t="shared" si="3"/>
        <v>Henry 7</v>
      </c>
      <c r="C20" s="1"/>
      <c r="D20" s="2">
        <f t="shared" si="4"/>
        <v>32</v>
      </c>
      <c r="E20" s="2">
        <f t="shared" si="4"/>
        <v>20</v>
      </c>
      <c r="F20" s="9">
        <f t="shared" si="5"/>
        <v>52</v>
      </c>
      <c r="G20" s="5">
        <f t="shared" si="6"/>
        <v>2</v>
      </c>
      <c r="H20" s="5">
        <f t="shared" si="6"/>
        <v>0</v>
      </c>
      <c r="I20" s="5">
        <f t="shared" si="6"/>
        <v>2</v>
      </c>
      <c r="J20">
        <f t="shared" si="7"/>
        <v>3</v>
      </c>
      <c r="K20">
        <f t="shared" si="7"/>
        <v>2</v>
      </c>
      <c r="L20">
        <f t="shared" ref="L20:L22" si="13">MOD(INT(F20/10),10)</f>
        <v>5</v>
      </c>
      <c r="M20">
        <f t="shared" si="8"/>
        <v>0</v>
      </c>
      <c r="N20">
        <f t="shared" si="8"/>
        <v>0</v>
      </c>
      <c r="O20">
        <f t="shared" si="8"/>
        <v>0</v>
      </c>
      <c r="Q20">
        <v>17</v>
      </c>
      <c r="R20" t="s">
        <v>201</v>
      </c>
      <c r="S20">
        <v>1457</v>
      </c>
      <c r="T20">
        <v>1509</v>
      </c>
      <c r="U20">
        <f t="shared" si="12"/>
        <v>1489</v>
      </c>
      <c r="V20">
        <f t="shared" si="9"/>
        <v>52</v>
      </c>
      <c r="W20">
        <f t="shared" si="10"/>
        <v>32</v>
      </c>
      <c r="X20">
        <f t="shared" si="11"/>
        <v>20</v>
      </c>
    </row>
    <row r="21" spans="2:35" ht="15.75" thickBot="1" x14ac:dyDescent="0.3">
      <c r="B21" s="1" t="str">
        <f t="shared" si="3"/>
        <v>Edmond Tudor</v>
      </c>
      <c r="C21" s="1"/>
      <c r="D21" s="2">
        <f t="shared" si="4"/>
        <v>26</v>
      </c>
      <c r="E21" s="2">
        <f t="shared" si="4"/>
        <v>-1</v>
      </c>
      <c r="F21" s="9">
        <f t="shared" si="5"/>
        <v>25</v>
      </c>
      <c r="G21" s="5">
        <f t="shared" si="6"/>
        <v>6</v>
      </c>
      <c r="H21" s="5"/>
      <c r="I21" s="5">
        <f t="shared" si="6"/>
        <v>5</v>
      </c>
      <c r="J21">
        <f t="shared" si="7"/>
        <v>2</v>
      </c>
      <c r="L21">
        <f t="shared" si="13"/>
        <v>2</v>
      </c>
      <c r="M21">
        <f t="shared" si="8"/>
        <v>0</v>
      </c>
      <c r="O21">
        <f t="shared" si="8"/>
        <v>0</v>
      </c>
      <c r="Q21">
        <v>18</v>
      </c>
      <c r="R21" t="s">
        <v>202</v>
      </c>
      <c r="S21">
        <v>1431</v>
      </c>
      <c r="T21">
        <v>1456</v>
      </c>
      <c r="U21">
        <f>S20</f>
        <v>1457</v>
      </c>
      <c r="V21">
        <f t="shared" si="9"/>
        <v>25</v>
      </c>
      <c r="W21">
        <f>U21-S21</f>
        <v>26</v>
      </c>
      <c r="X21">
        <f t="shared" si="11"/>
        <v>-1</v>
      </c>
      <c r="Y21" t="s">
        <v>208</v>
      </c>
    </row>
    <row r="22" spans="2:35" ht="15.75" thickBot="1" x14ac:dyDescent="0.3">
      <c r="B22" s="1" t="str">
        <f t="shared" si="3"/>
        <v>Owen Tudor</v>
      </c>
      <c r="C22" s="1"/>
      <c r="D22" s="2">
        <f t="shared" si="4"/>
        <v>46</v>
      </c>
      <c r="E22" s="2">
        <f t="shared" si="4"/>
        <v>30</v>
      </c>
      <c r="F22" s="9">
        <f t="shared" si="5"/>
        <v>76</v>
      </c>
      <c r="G22" s="5">
        <f t="shared" si="6"/>
        <v>6</v>
      </c>
      <c r="H22" s="5">
        <f t="shared" si="6"/>
        <v>0</v>
      </c>
      <c r="I22" s="5">
        <f t="shared" si="6"/>
        <v>6</v>
      </c>
      <c r="J22">
        <f t="shared" si="7"/>
        <v>4</v>
      </c>
      <c r="K22">
        <f t="shared" si="7"/>
        <v>3</v>
      </c>
      <c r="L22">
        <f t="shared" si="13"/>
        <v>7</v>
      </c>
      <c r="M22">
        <f t="shared" si="8"/>
        <v>0</v>
      </c>
      <c r="N22">
        <f t="shared" si="8"/>
        <v>0</v>
      </c>
      <c r="O22">
        <f t="shared" si="8"/>
        <v>0</v>
      </c>
      <c r="Q22">
        <v>19</v>
      </c>
      <c r="R22" t="s">
        <v>203</v>
      </c>
      <c r="S22">
        <v>1385</v>
      </c>
      <c r="T22">
        <v>1461</v>
      </c>
      <c r="U22">
        <f t="shared" si="12"/>
        <v>1431</v>
      </c>
      <c r="V22">
        <f t="shared" si="9"/>
        <v>76</v>
      </c>
      <c r="W22">
        <f t="shared" si="10"/>
        <v>46</v>
      </c>
      <c r="X22">
        <f t="shared" si="11"/>
        <v>30</v>
      </c>
    </row>
    <row r="23" spans="2:35" x14ac:dyDescent="0.25">
      <c r="B23" s="5"/>
      <c r="C23" s="5" t="s">
        <v>31</v>
      </c>
      <c r="D23" s="6">
        <f>SUM(D14:D22)</f>
        <v>275</v>
      </c>
      <c r="E23" s="5">
        <f>SUM(E14:E22)</f>
        <v>214</v>
      </c>
      <c r="F23" s="6">
        <f>SUM(F14:F22)</f>
        <v>489</v>
      </c>
      <c r="G23" s="5"/>
      <c r="H23" s="5"/>
      <c r="I23" s="5"/>
      <c r="J23" s="7"/>
      <c r="K23" s="5"/>
    </row>
    <row r="24" spans="2:35" ht="15.75" thickBot="1" x14ac:dyDescent="0.3">
      <c r="B24" s="5"/>
      <c r="C24" s="5"/>
      <c r="D24" s="6"/>
      <c r="E24" s="5"/>
      <c r="F24" s="6"/>
      <c r="G24" s="5"/>
      <c r="H24" s="5"/>
      <c r="I24" s="5"/>
      <c r="J24" s="7"/>
      <c r="K24" s="5"/>
    </row>
    <row r="25" spans="2:35" x14ac:dyDescent="0.25">
      <c r="B25" s="5"/>
      <c r="C25" s="5"/>
      <c r="D25" s="6"/>
      <c r="E25" s="5"/>
      <c r="F25" s="6"/>
      <c r="G25" s="5"/>
      <c r="H25" s="5"/>
      <c r="I25" s="5"/>
      <c r="J25" s="7"/>
      <c r="K25" s="5"/>
      <c r="V25" s="42"/>
      <c r="W25" s="39" t="s">
        <v>212</v>
      </c>
    </row>
    <row r="26" spans="2:35" x14ac:dyDescent="0.25">
      <c r="B26" s="5"/>
      <c r="C26" s="5"/>
      <c r="D26" s="6"/>
      <c r="E26" s="5"/>
      <c r="F26" s="6"/>
      <c r="G26" s="5"/>
      <c r="H26" s="5"/>
      <c r="I26" s="5"/>
      <c r="J26" s="7"/>
      <c r="K26" s="5"/>
      <c r="L26" s="5"/>
      <c r="N26" s="5"/>
      <c r="O26" s="5"/>
      <c r="S26" s="32" t="s">
        <v>211</v>
      </c>
      <c r="V26" s="42"/>
      <c r="W26" s="40"/>
      <c r="AD26">
        <v>9</v>
      </c>
      <c r="AF26" t="s">
        <v>213</v>
      </c>
      <c r="AG26" s="43" t="s">
        <v>214</v>
      </c>
      <c r="AH26" s="44" t="s">
        <v>215</v>
      </c>
      <c r="AI26" t="s">
        <v>216</v>
      </c>
    </row>
    <row r="27" spans="2:35" x14ac:dyDescent="0.25">
      <c r="B27" s="5"/>
      <c r="C27" s="5"/>
      <c r="D27" s="6"/>
      <c r="E27" s="6"/>
      <c r="F27">
        <v>0</v>
      </c>
      <c r="G27">
        <f>COUNTIF(G$4:G$22,$F27)</f>
        <v>4</v>
      </c>
      <c r="H27">
        <f>COUNTIF(H$4:H$22,$F27)</f>
        <v>4</v>
      </c>
      <c r="I27">
        <f>COUNTIF(I$4:I$22,$F27)</f>
        <v>1</v>
      </c>
      <c r="J27">
        <f>COUNTIF(J$4:J$22,$F27)</f>
        <v>0</v>
      </c>
      <c r="K27">
        <f>COUNTIF(K$4:K$22,$F27)</f>
        <v>2</v>
      </c>
      <c r="L27">
        <f t="shared" ref="L27:O36" si="14">COUNTIF(L$4:L$22,$F27)</f>
        <v>0</v>
      </c>
      <c r="M27">
        <f>COUNTIF(M$4:M$22,$F27)</f>
        <v>19</v>
      </c>
      <c r="N27">
        <f>COUNTIF(N$4:N$22,$F27)</f>
        <v>18</v>
      </c>
      <c r="O27">
        <f t="shared" si="14"/>
        <v>19</v>
      </c>
      <c r="S27">
        <f>G27+Fig_1B_decomp!G27+Fig_1C_decomp!G27</f>
        <v>8</v>
      </c>
      <c r="T27">
        <f>H27+Fig_1B_decomp!H27+Fig_1C_decomp!H27</f>
        <v>11</v>
      </c>
      <c r="U27">
        <f>I27+Fig_1B_decomp!I27+Fig_1C_decomp!I27</f>
        <v>5</v>
      </c>
      <c r="V27" s="42">
        <f>J27+Fig_1B_decomp!J27+Fig_1C_decomp!J27</f>
        <v>0</v>
      </c>
      <c r="W27" s="40">
        <f>K27+Fig_1B_decomp!K27+Fig_1C_decomp!K27</f>
        <v>8</v>
      </c>
      <c r="X27">
        <f>L27+Fig_1B_decomp!L27+Fig_1C_decomp!L27</f>
        <v>0</v>
      </c>
      <c r="Y27">
        <f>M27+Fig_1B_decomp!M27+Fig_1C_decomp!M27</f>
        <v>57</v>
      </c>
      <c r="Z27">
        <f>N27+Fig_1B_decomp!N27+Fig_1C_decomp!N27</f>
        <v>56</v>
      </c>
      <c r="AA27">
        <f>O27+Fig_1B_decomp!O27+Fig_1C_decomp!O27</f>
        <v>57</v>
      </c>
      <c r="AE27">
        <v>6</v>
      </c>
      <c r="AF27">
        <f>(FACT($AD$26)/(FACT(AE27)*FACT($AD$26-AE27)))</f>
        <v>84</v>
      </c>
      <c r="AG27">
        <f>(1/7)^AE27</f>
        <v>8.4998597523140835E-6</v>
      </c>
      <c r="AH27">
        <f>(6/7)^($AD$26-AE27)</f>
        <v>0.629737609329446</v>
      </c>
      <c r="AI27">
        <f>AF27*AG27*AH27</f>
        <v>4.4962523424485923E-4</v>
      </c>
    </row>
    <row r="28" spans="2:35" x14ac:dyDescent="0.25">
      <c r="B28" s="5"/>
      <c r="C28" s="5"/>
      <c r="D28" s="6"/>
      <c r="E28" s="6"/>
      <c r="F28">
        <v>1</v>
      </c>
      <c r="G28">
        <f t="shared" ref="G28:G36" si="15">COUNTIF(G$4:G$22,$F28)</f>
        <v>2</v>
      </c>
      <c r="H28">
        <f t="shared" ref="H28:H36" si="16">COUNTIF(H$4:H$22,$F28)</f>
        <v>3</v>
      </c>
      <c r="I28">
        <f t="shared" ref="I28:K36" si="17">COUNTIF(I$4:I$22,$F28)</f>
        <v>1</v>
      </c>
      <c r="J28">
        <f t="shared" si="17"/>
        <v>0</v>
      </c>
      <c r="K28">
        <f t="shared" si="17"/>
        <v>1</v>
      </c>
      <c r="L28">
        <f t="shared" si="14"/>
        <v>0</v>
      </c>
      <c r="M28">
        <f t="shared" si="14"/>
        <v>0</v>
      </c>
      <c r="N28">
        <f t="shared" si="14"/>
        <v>0</v>
      </c>
      <c r="O28">
        <f t="shared" si="14"/>
        <v>0</v>
      </c>
      <c r="S28">
        <f>G28+Fig_1B_decomp!G28+Fig_1C_decomp!G28</f>
        <v>5</v>
      </c>
      <c r="T28">
        <f>H28+Fig_1B_decomp!H28+Fig_1C_decomp!H28</f>
        <v>6</v>
      </c>
      <c r="U28">
        <f>I28+Fig_1B_decomp!I28+Fig_1C_decomp!I28</f>
        <v>4</v>
      </c>
      <c r="V28" s="42">
        <f>J28+Fig_1B_decomp!J28+Fig_1C_decomp!J28</f>
        <v>1</v>
      </c>
      <c r="W28" s="40">
        <f>K28+Fig_1B_decomp!K28+Fig_1C_decomp!K28</f>
        <v>9</v>
      </c>
      <c r="X28">
        <f>L28+Fig_1B_decomp!L28+Fig_1C_decomp!L28</f>
        <v>0</v>
      </c>
      <c r="Y28">
        <f>M28+Fig_1B_decomp!M28+Fig_1C_decomp!M28</f>
        <v>0</v>
      </c>
      <c r="Z28">
        <f>N28+Fig_1B_decomp!N28+Fig_1C_decomp!N28</f>
        <v>0</v>
      </c>
      <c r="AA28">
        <f>O28+Fig_1B_decomp!O28+Fig_1C_decomp!O28</f>
        <v>0</v>
      </c>
      <c r="AE28">
        <v>7</v>
      </c>
      <c r="AF28">
        <f t="shared" ref="AF28:AF30" si="18">(FACT($AD$26)/(FACT(AE28)*FACT($AD$26-AE28)))</f>
        <v>36</v>
      </c>
      <c r="AG28">
        <f t="shared" ref="AG28:AG30" si="19">(1/7)^AE28</f>
        <v>1.2142656789020119E-6</v>
      </c>
      <c r="AH28">
        <f t="shared" ref="AH28:AH30" si="20">(6/7)^($AD$26-AE28)</f>
        <v>0.73469387755102034</v>
      </c>
      <c r="AI28">
        <f t="shared" ref="AI28:AI30" si="21">AF28*AG28*AH28</f>
        <v>3.2116088160347087E-5</v>
      </c>
    </row>
    <row r="29" spans="2:35" x14ac:dyDescent="0.25">
      <c r="B29" s="5"/>
      <c r="C29" s="5"/>
      <c r="D29" s="6"/>
      <c r="E29" s="6"/>
      <c r="F29">
        <v>2</v>
      </c>
      <c r="G29">
        <f t="shared" si="15"/>
        <v>4</v>
      </c>
      <c r="H29">
        <f t="shared" si="16"/>
        <v>1</v>
      </c>
      <c r="I29">
        <f t="shared" si="17"/>
        <v>4</v>
      </c>
      <c r="J29">
        <f t="shared" si="17"/>
        <v>9</v>
      </c>
      <c r="K29">
        <f t="shared" si="17"/>
        <v>5</v>
      </c>
      <c r="L29">
        <f t="shared" si="14"/>
        <v>1</v>
      </c>
      <c r="M29">
        <f t="shared" si="14"/>
        <v>0</v>
      </c>
      <c r="N29">
        <f t="shared" si="14"/>
        <v>0</v>
      </c>
      <c r="O29">
        <f t="shared" si="14"/>
        <v>0</v>
      </c>
      <c r="S29">
        <f>G29+Fig_1B_decomp!G29+Fig_1C_decomp!G29</f>
        <v>11</v>
      </c>
      <c r="T29">
        <f>H29+Fig_1B_decomp!H29+Fig_1C_decomp!H29</f>
        <v>3</v>
      </c>
      <c r="U29">
        <f>I29+Fig_1B_decomp!I29+Fig_1C_decomp!I29</f>
        <v>8</v>
      </c>
      <c r="V29" s="42">
        <f>J29+Fig_1B_decomp!J29+Fig_1C_decomp!J29</f>
        <v>29</v>
      </c>
      <c r="W29" s="40">
        <f>K29+Fig_1B_decomp!K29+Fig_1C_decomp!K29</f>
        <v>18</v>
      </c>
      <c r="X29">
        <f>L29+Fig_1B_decomp!L29+Fig_1C_decomp!L29</f>
        <v>2</v>
      </c>
      <c r="Y29">
        <f>M29+Fig_1B_decomp!M29+Fig_1C_decomp!M29</f>
        <v>0</v>
      </c>
      <c r="Z29">
        <f>N29+Fig_1B_decomp!N29+Fig_1C_decomp!N29</f>
        <v>0</v>
      </c>
      <c r="AA29">
        <f>O29+Fig_1B_decomp!O29+Fig_1C_decomp!O29</f>
        <v>0</v>
      </c>
      <c r="AE29">
        <v>8</v>
      </c>
      <c r="AF29">
        <f t="shared" si="18"/>
        <v>9</v>
      </c>
      <c r="AG29">
        <f t="shared" si="19"/>
        <v>1.7346652555743026E-7</v>
      </c>
      <c r="AH29">
        <f t="shared" si="20"/>
        <v>0.8571428571428571</v>
      </c>
      <c r="AI29">
        <f t="shared" si="21"/>
        <v>1.338170340014462E-6</v>
      </c>
    </row>
    <row r="30" spans="2:35" x14ac:dyDescent="0.25">
      <c r="B30" s="5"/>
      <c r="C30" s="5"/>
      <c r="D30" s="6"/>
      <c r="E30" s="6"/>
      <c r="F30">
        <v>3</v>
      </c>
      <c r="G30">
        <f t="shared" si="15"/>
        <v>2</v>
      </c>
      <c r="H30">
        <f t="shared" si="16"/>
        <v>3</v>
      </c>
      <c r="I30">
        <f t="shared" si="17"/>
        <v>1</v>
      </c>
      <c r="J30">
        <f t="shared" si="17"/>
        <v>8</v>
      </c>
      <c r="K30">
        <f t="shared" si="17"/>
        <v>2</v>
      </c>
      <c r="L30">
        <f t="shared" si="14"/>
        <v>1</v>
      </c>
      <c r="M30">
        <f t="shared" si="14"/>
        <v>0</v>
      </c>
      <c r="N30">
        <f t="shared" si="14"/>
        <v>0</v>
      </c>
      <c r="O30">
        <f t="shared" si="14"/>
        <v>0</v>
      </c>
      <c r="S30">
        <f>G30+Fig_1B_decomp!G30+Fig_1C_decomp!G30</f>
        <v>5</v>
      </c>
      <c r="T30">
        <f>H30+Fig_1B_decomp!H30+Fig_1C_decomp!H30</f>
        <v>6</v>
      </c>
      <c r="U30">
        <f>I30+Fig_1B_decomp!I30+Fig_1C_decomp!I30</f>
        <v>3</v>
      </c>
      <c r="V30" s="42">
        <f>J30+Fig_1B_decomp!J30+Fig_1C_decomp!J30</f>
        <v>18</v>
      </c>
      <c r="W30" s="40">
        <f>K30+Fig_1B_decomp!K30+Fig_1C_decomp!K30</f>
        <v>7</v>
      </c>
      <c r="X30">
        <f>L30+Fig_1B_decomp!L30+Fig_1C_decomp!L30</f>
        <v>6</v>
      </c>
      <c r="Y30">
        <f>M30+Fig_1B_decomp!M30+Fig_1C_decomp!M30</f>
        <v>0</v>
      </c>
      <c r="Z30">
        <f>N30+Fig_1B_decomp!N30+Fig_1C_decomp!N30</f>
        <v>0</v>
      </c>
      <c r="AA30">
        <f>O30+Fig_1B_decomp!O30+Fig_1C_decomp!O30</f>
        <v>0</v>
      </c>
      <c r="AE30">
        <v>9</v>
      </c>
      <c r="AF30">
        <f t="shared" si="18"/>
        <v>1</v>
      </c>
      <c r="AG30">
        <f t="shared" si="19"/>
        <v>2.4780932222490035E-8</v>
      </c>
      <c r="AH30">
        <f t="shared" si="20"/>
        <v>1</v>
      </c>
      <c r="AI30">
        <f t="shared" si="21"/>
        <v>2.4780932222490035E-8</v>
      </c>
    </row>
    <row r="31" spans="2:35" x14ac:dyDescent="0.25">
      <c r="B31" s="5"/>
      <c r="C31" s="5"/>
      <c r="E31" s="6"/>
      <c r="F31">
        <v>4</v>
      </c>
      <c r="G31">
        <f t="shared" si="15"/>
        <v>4</v>
      </c>
      <c r="H31">
        <f t="shared" si="16"/>
        <v>3</v>
      </c>
      <c r="I31">
        <f t="shared" si="17"/>
        <v>2</v>
      </c>
      <c r="J31">
        <f t="shared" si="17"/>
        <v>1</v>
      </c>
      <c r="K31">
        <f t="shared" si="17"/>
        <v>3</v>
      </c>
      <c r="L31">
        <f t="shared" si="14"/>
        <v>2</v>
      </c>
      <c r="M31">
        <f t="shared" si="14"/>
        <v>0</v>
      </c>
      <c r="N31">
        <f t="shared" si="14"/>
        <v>0</v>
      </c>
      <c r="O31">
        <f t="shared" si="14"/>
        <v>0</v>
      </c>
      <c r="S31">
        <f>G31+Fig_1B_decomp!G31+Fig_1C_decomp!G31</f>
        <v>6</v>
      </c>
      <c r="T31">
        <f>H31+Fig_1B_decomp!H31+Fig_1C_decomp!H31</f>
        <v>5</v>
      </c>
      <c r="U31">
        <f>I31+Fig_1B_decomp!I31+Fig_1C_decomp!I31</f>
        <v>6</v>
      </c>
      <c r="V31" s="42">
        <f>J31+Fig_1B_decomp!J31+Fig_1C_decomp!J31</f>
        <v>6</v>
      </c>
      <c r="W31" s="40">
        <f>K31+Fig_1B_decomp!K31+Fig_1C_decomp!K31</f>
        <v>7</v>
      </c>
      <c r="X31">
        <f>L31+Fig_1B_decomp!L31+Fig_1C_decomp!L31</f>
        <v>13</v>
      </c>
      <c r="Y31">
        <f>M31+Fig_1B_decomp!M31+Fig_1C_decomp!M31</f>
        <v>0</v>
      </c>
      <c r="Z31">
        <f>N31+Fig_1B_decomp!N31+Fig_1C_decomp!N31</f>
        <v>0</v>
      </c>
      <c r="AA31">
        <f>O31+Fig_1B_decomp!O31+Fig_1C_decomp!O31</f>
        <v>0</v>
      </c>
      <c r="AH31" t="s">
        <v>217</v>
      </c>
      <c r="AI31" s="45">
        <f>SUM(AI27:AI30)</f>
        <v>4.8310427367744327E-4</v>
      </c>
    </row>
    <row r="32" spans="2:35" x14ac:dyDescent="0.25">
      <c r="B32" s="5"/>
      <c r="C32" s="5"/>
      <c r="D32" s="6"/>
      <c r="E32" s="6"/>
      <c r="F32">
        <v>5</v>
      </c>
      <c r="G32">
        <f t="shared" si="15"/>
        <v>0</v>
      </c>
      <c r="H32">
        <f t="shared" si="16"/>
        <v>1</v>
      </c>
      <c r="I32">
        <f t="shared" si="17"/>
        <v>2</v>
      </c>
      <c r="J32">
        <f t="shared" si="17"/>
        <v>1</v>
      </c>
      <c r="K32">
        <f t="shared" si="17"/>
        <v>3</v>
      </c>
      <c r="L32">
        <f t="shared" si="14"/>
        <v>5</v>
      </c>
      <c r="M32">
        <f t="shared" si="14"/>
        <v>0</v>
      </c>
      <c r="N32">
        <f t="shared" si="14"/>
        <v>0</v>
      </c>
      <c r="O32">
        <f t="shared" si="14"/>
        <v>0</v>
      </c>
      <c r="S32">
        <f>G32+Fig_1B_decomp!G32+Fig_1C_decomp!G32</f>
        <v>4</v>
      </c>
      <c r="T32">
        <f>H32+Fig_1B_decomp!H32+Fig_1C_decomp!H32</f>
        <v>4</v>
      </c>
      <c r="U32">
        <f>I32+Fig_1B_decomp!I32+Fig_1C_decomp!I32</f>
        <v>5</v>
      </c>
      <c r="V32" s="42">
        <f>J32+Fig_1B_decomp!J32+Fig_1C_decomp!J32</f>
        <v>3</v>
      </c>
      <c r="W32" s="40">
        <f>K32+Fig_1B_decomp!K32+Fig_1C_decomp!K32</f>
        <v>5</v>
      </c>
      <c r="X32">
        <f>L32+Fig_1B_decomp!L32+Fig_1C_decomp!L32</f>
        <v>10</v>
      </c>
      <c r="Y32">
        <f>M32+Fig_1B_decomp!M32+Fig_1C_decomp!M32</f>
        <v>0</v>
      </c>
      <c r="Z32">
        <f>N32+Fig_1B_decomp!N32+Fig_1C_decomp!N32</f>
        <v>0</v>
      </c>
      <c r="AA32">
        <f>O32+Fig_1B_decomp!O32+Fig_1C_decomp!O32</f>
        <v>0</v>
      </c>
      <c r="AH32" t="s">
        <v>218</v>
      </c>
      <c r="AI32">
        <f>1/AI31</f>
        <v>2069.9464991023351</v>
      </c>
    </row>
    <row r="33" spans="2:27" x14ac:dyDescent="0.25">
      <c r="B33" s="5"/>
      <c r="C33" s="5"/>
      <c r="D33" s="6"/>
      <c r="E33" s="6"/>
      <c r="F33">
        <v>6</v>
      </c>
      <c r="G33">
        <f t="shared" si="15"/>
        <v>2</v>
      </c>
      <c r="H33">
        <f t="shared" si="16"/>
        <v>1</v>
      </c>
      <c r="I33">
        <f t="shared" si="17"/>
        <v>3</v>
      </c>
      <c r="J33">
        <f t="shared" si="17"/>
        <v>0</v>
      </c>
      <c r="K33">
        <f t="shared" si="17"/>
        <v>1</v>
      </c>
      <c r="L33">
        <f t="shared" si="14"/>
        <v>3</v>
      </c>
      <c r="M33">
        <f t="shared" si="14"/>
        <v>0</v>
      </c>
      <c r="N33">
        <f t="shared" si="14"/>
        <v>0</v>
      </c>
      <c r="O33">
        <f t="shared" si="14"/>
        <v>0</v>
      </c>
      <c r="S33">
        <f>G33+Fig_1B_decomp!G33+Fig_1C_decomp!G33</f>
        <v>3</v>
      </c>
      <c r="T33">
        <f>H33+Fig_1B_decomp!H33+Fig_1C_decomp!H33</f>
        <v>6</v>
      </c>
      <c r="U33">
        <f>I33+Fig_1B_decomp!I33+Fig_1C_decomp!I33</f>
        <v>8</v>
      </c>
      <c r="V33" s="42">
        <f>J33+Fig_1B_decomp!J33+Fig_1C_decomp!J33</f>
        <v>0</v>
      </c>
      <c r="W33" s="40">
        <f>K33+Fig_1B_decomp!K33+Fig_1C_decomp!K33</f>
        <v>1</v>
      </c>
      <c r="X33">
        <f>L33+Fig_1B_decomp!L33+Fig_1C_decomp!L33</f>
        <v>12</v>
      </c>
      <c r="Y33">
        <f>M33+Fig_1B_decomp!M33+Fig_1C_decomp!M33</f>
        <v>0</v>
      </c>
      <c r="Z33">
        <f>N33+Fig_1B_decomp!N33+Fig_1C_decomp!N33</f>
        <v>0</v>
      </c>
      <c r="AA33">
        <f>O33+Fig_1B_decomp!O33+Fig_1C_decomp!O33</f>
        <v>0</v>
      </c>
    </row>
    <row r="34" spans="2:27" x14ac:dyDescent="0.25">
      <c r="B34" s="5"/>
      <c r="C34" s="5"/>
      <c r="D34" s="6"/>
      <c r="E34" s="6"/>
      <c r="F34">
        <v>7</v>
      </c>
      <c r="G34">
        <f t="shared" si="15"/>
        <v>0</v>
      </c>
      <c r="H34">
        <f t="shared" si="16"/>
        <v>0</v>
      </c>
      <c r="I34">
        <f t="shared" si="17"/>
        <v>3</v>
      </c>
      <c r="J34">
        <f t="shared" si="17"/>
        <v>0</v>
      </c>
      <c r="K34">
        <f t="shared" si="17"/>
        <v>1</v>
      </c>
      <c r="L34">
        <f t="shared" si="14"/>
        <v>3</v>
      </c>
      <c r="M34">
        <f t="shared" si="14"/>
        <v>0</v>
      </c>
      <c r="N34">
        <f t="shared" si="14"/>
        <v>0</v>
      </c>
      <c r="O34">
        <f t="shared" si="14"/>
        <v>0</v>
      </c>
      <c r="S34">
        <f>G34+Fig_1B_decomp!G34+Fig_1C_decomp!G34</f>
        <v>5</v>
      </c>
      <c r="T34">
        <f>H34+Fig_1B_decomp!H34+Fig_1C_decomp!H34</f>
        <v>6</v>
      </c>
      <c r="U34">
        <f>I34+Fig_1B_decomp!I34+Fig_1C_decomp!I34</f>
        <v>6</v>
      </c>
      <c r="V34" s="42">
        <f>J34+Fig_1B_decomp!J34+Fig_1C_decomp!J34</f>
        <v>0</v>
      </c>
      <c r="W34" s="40">
        <f>K34+Fig_1B_decomp!K34+Fig_1C_decomp!K34</f>
        <v>1</v>
      </c>
      <c r="X34">
        <f>L34+Fig_1B_decomp!L34+Fig_1C_decomp!L34</f>
        <v>7</v>
      </c>
      <c r="Y34">
        <f>M34+Fig_1B_decomp!M34+Fig_1C_decomp!M34</f>
        <v>0</v>
      </c>
      <c r="Z34">
        <f>N34+Fig_1B_decomp!N34+Fig_1C_decomp!N34</f>
        <v>0</v>
      </c>
      <c r="AA34">
        <f>O34+Fig_1B_decomp!O34+Fig_1C_decomp!O34</f>
        <v>0</v>
      </c>
    </row>
    <row r="35" spans="2:27" x14ac:dyDescent="0.25">
      <c r="B35" s="5"/>
      <c r="C35" s="5"/>
      <c r="D35" s="6"/>
      <c r="E35" s="5"/>
      <c r="F35">
        <v>8</v>
      </c>
      <c r="G35">
        <f t="shared" si="15"/>
        <v>0</v>
      </c>
      <c r="H35">
        <f t="shared" si="16"/>
        <v>0</v>
      </c>
      <c r="I35">
        <f t="shared" si="17"/>
        <v>0</v>
      </c>
      <c r="J35">
        <f t="shared" si="17"/>
        <v>0</v>
      </c>
      <c r="K35">
        <f t="shared" si="17"/>
        <v>0</v>
      </c>
      <c r="L35">
        <f t="shared" si="14"/>
        <v>3</v>
      </c>
      <c r="M35">
        <f t="shared" si="14"/>
        <v>0</v>
      </c>
      <c r="N35">
        <f t="shared" si="14"/>
        <v>0</v>
      </c>
      <c r="O35">
        <f t="shared" si="14"/>
        <v>0</v>
      </c>
      <c r="S35">
        <f>G35+Fig_1B_decomp!G35+Fig_1C_decomp!G35</f>
        <v>2</v>
      </c>
      <c r="T35">
        <f>H35+Fig_1B_decomp!H35+Fig_1C_decomp!H35</f>
        <v>3</v>
      </c>
      <c r="U35">
        <f>I35+Fig_1B_decomp!I35+Fig_1C_decomp!I35</f>
        <v>4</v>
      </c>
      <c r="V35" s="42">
        <f>J35+Fig_1B_decomp!J35+Fig_1C_decomp!J35</f>
        <v>0</v>
      </c>
      <c r="W35" s="40">
        <f>K35+Fig_1B_decomp!K35+Fig_1C_decomp!K35</f>
        <v>0</v>
      </c>
      <c r="X35">
        <f>L35+Fig_1B_decomp!L35+Fig_1C_decomp!L35</f>
        <v>6</v>
      </c>
      <c r="Y35">
        <f>M35+Fig_1B_decomp!M35+Fig_1C_decomp!M35</f>
        <v>0</v>
      </c>
      <c r="Z35">
        <f>N35+Fig_1B_decomp!N35+Fig_1C_decomp!N35</f>
        <v>0</v>
      </c>
      <c r="AA35">
        <f>O35+Fig_1B_decomp!O35+Fig_1C_decomp!O35</f>
        <v>0</v>
      </c>
    </row>
    <row r="36" spans="2:27" ht="15.75" thickBot="1" x14ac:dyDescent="0.3">
      <c r="F36">
        <v>9</v>
      </c>
      <c r="G36">
        <f t="shared" si="15"/>
        <v>1</v>
      </c>
      <c r="H36">
        <f t="shared" si="16"/>
        <v>2</v>
      </c>
      <c r="I36">
        <f t="shared" si="17"/>
        <v>2</v>
      </c>
      <c r="J36">
        <f t="shared" si="17"/>
        <v>0</v>
      </c>
      <c r="K36">
        <f t="shared" si="17"/>
        <v>0</v>
      </c>
      <c r="L36">
        <f t="shared" si="14"/>
        <v>1</v>
      </c>
      <c r="M36">
        <f t="shared" si="14"/>
        <v>0</v>
      </c>
      <c r="N36">
        <f t="shared" si="14"/>
        <v>0</v>
      </c>
      <c r="O36">
        <f t="shared" si="14"/>
        <v>0</v>
      </c>
      <c r="S36">
        <f>G36+Fig_1B_decomp!G36+Fig_1C_decomp!G36</f>
        <v>8</v>
      </c>
      <c r="T36">
        <f>H36+Fig_1B_decomp!H36+Fig_1C_decomp!H36</f>
        <v>6</v>
      </c>
      <c r="U36">
        <f>I36+Fig_1B_decomp!I36+Fig_1C_decomp!I36</f>
        <v>8</v>
      </c>
      <c r="V36" s="42">
        <f>J36+Fig_1B_decomp!J36+Fig_1C_decomp!J36</f>
        <v>0</v>
      </c>
      <c r="W36" s="41">
        <f>K36+Fig_1B_decomp!K36+Fig_1C_decomp!K36</f>
        <v>0</v>
      </c>
      <c r="X36">
        <f>L36+Fig_1B_decomp!L36+Fig_1C_decomp!L36</f>
        <v>1</v>
      </c>
      <c r="Y36">
        <f>M36+Fig_1B_decomp!M36+Fig_1C_decomp!M36</f>
        <v>0</v>
      </c>
      <c r="Z36">
        <f>N36+Fig_1B_decomp!N36+Fig_1C_decomp!N36</f>
        <v>0</v>
      </c>
      <c r="AA36">
        <f>O36+Fig_1B_decomp!O36+Fig_1C_decomp!O36</f>
        <v>0</v>
      </c>
    </row>
    <row r="37" spans="2:27" x14ac:dyDescent="0.25">
      <c r="W37">
        <f>SUM(W27:W36)</f>
        <v>56</v>
      </c>
    </row>
    <row r="56" spans="8:13" x14ac:dyDescent="0.25">
      <c r="H56" s="36"/>
      <c r="I56" s="36"/>
      <c r="J56" s="36"/>
      <c r="K56" s="36"/>
      <c r="L56" s="36"/>
      <c r="M56" s="36"/>
    </row>
  </sheetData>
  <mergeCells count="6">
    <mergeCell ref="D2:F2"/>
    <mergeCell ref="G2:I2"/>
    <mergeCell ref="J2:L2"/>
    <mergeCell ref="M2:O2"/>
    <mergeCell ref="H56:J56"/>
    <mergeCell ref="K56:M56"/>
  </mergeCells>
  <hyperlinks>
    <hyperlink ref="R2" r:id="rId1" xr:uid="{E1EBEBA8-C033-441C-9963-1EC9732E626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78DA-70FE-4B07-A5AE-1DDCA7B85A7A}">
  <dimension ref="B1:X56"/>
  <sheetViews>
    <sheetView zoomScale="70" zoomScaleNormal="70" workbookViewId="0">
      <selection activeCell="C29" sqref="C29"/>
    </sheetView>
  </sheetViews>
  <sheetFormatPr defaultRowHeight="15" x14ac:dyDescent="0.25"/>
  <cols>
    <col min="2" max="2" width="14.5703125" bestFit="1" customWidth="1"/>
    <col min="3" max="3" width="12.7109375" customWidth="1"/>
    <col min="7" max="8" width="12.7109375" bestFit="1" customWidth="1"/>
    <col min="10" max="10" width="17.140625" customWidth="1"/>
    <col min="13" max="13" width="11" customWidth="1"/>
  </cols>
  <sheetData>
    <row r="1" spans="2:24" ht="15.75" thickBot="1" x14ac:dyDescent="0.3"/>
    <row r="2" spans="2:24" ht="15.75" thickBot="1" x14ac:dyDescent="0.3">
      <c r="B2" s="1" t="s">
        <v>0</v>
      </c>
      <c r="C2" s="1"/>
      <c r="D2" s="33" t="s">
        <v>16</v>
      </c>
      <c r="E2" s="34"/>
      <c r="F2" s="34"/>
      <c r="G2" s="35" t="s">
        <v>17</v>
      </c>
      <c r="H2" s="35"/>
      <c r="I2" s="35"/>
      <c r="J2" s="35" t="s">
        <v>18</v>
      </c>
      <c r="K2" s="35"/>
      <c r="L2" s="35"/>
      <c r="M2" s="35" t="s">
        <v>19</v>
      </c>
      <c r="N2" s="35"/>
      <c r="O2" s="35"/>
      <c r="R2" s="29"/>
      <c r="S2" s="29" t="s">
        <v>167</v>
      </c>
    </row>
    <row r="3" spans="2:24" ht="39.75" thickBot="1" x14ac:dyDescent="0.3">
      <c r="B3" s="1" t="s">
        <v>1</v>
      </c>
      <c r="C3" s="1" t="s">
        <v>2</v>
      </c>
      <c r="D3" s="1" t="s">
        <v>3</v>
      </c>
      <c r="E3" s="1" t="s">
        <v>210</v>
      </c>
      <c r="F3" s="8" t="s">
        <v>4</v>
      </c>
      <c r="G3" s="1" t="s">
        <v>3</v>
      </c>
      <c r="H3" s="1" t="s">
        <v>210</v>
      </c>
      <c r="I3" s="8" t="s">
        <v>4</v>
      </c>
      <c r="J3" s="1" t="s">
        <v>3</v>
      </c>
      <c r="K3" s="1" t="s">
        <v>210</v>
      </c>
      <c r="L3" s="8" t="s">
        <v>4</v>
      </c>
      <c r="M3" s="1" t="s">
        <v>3</v>
      </c>
      <c r="N3" s="1" t="s">
        <v>210</v>
      </c>
      <c r="O3" s="8" t="s">
        <v>4</v>
      </c>
      <c r="R3" t="s">
        <v>32</v>
      </c>
      <c r="S3" t="s">
        <v>144</v>
      </c>
      <c r="T3" t="s">
        <v>145</v>
      </c>
      <c r="U3" t="s">
        <v>146</v>
      </c>
      <c r="V3" t="s">
        <v>147</v>
      </c>
      <c r="W3" t="s">
        <v>204</v>
      </c>
      <c r="X3" t="s">
        <v>205</v>
      </c>
    </row>
    <row r="4" spans="2:24" ht="15.75" thickBot="1" x14ac:dyDescent="0.3">
      <c r="B4" s="1" t="str">
        <f>R4</f>
        <v>Louis Philippe 1</v>
      </c>
      <c r="C4" s="1"/>
      <c r="D4" s="2">
        <f>W4</f>
        <v>37</v>
      </c>
      <c r="E4" s="2">
        <f>X4</f>
        <v>40</v>
      </c>
      <c r="F4" s="9">
        <f>V4</f>
        <v>77</v>
      </c>
      <c r="G4" s="5">
        <f>MOD(D4, 10)</f>
        <v>7</v>
      </c>
      <c r="H4" s="5">
        <f t="shared" ref="H4:I4" si="0">MOD(E4, 10)</f>
        <v>0</v>
      </c>
      <c r="I4" s="5">
        <f t="shared" si="0"/>
        <v>7</v>
      </c>
      <c r="J4">
        <f>MOD(INT(D4/10),10)</f>
        <v>3</v>
      </c>
      <c r="K4">
        <f t="shared" ref="K4:L4" si="1">MOD(INT(E4/10),10)</f>
        <v>4</v>
      </c>
      <c r="L4">
        <f t="shared" si="1"/>
        <v>7</v>
      </c>
      <c r="M4">
        <f>MOD(INT(D4/100),10)</f>
        <v>0</v>
      </c>
      <c r="N4">
        <f t="shared" ref="N4:O4" si="2">MOD(INT(E4/100),10)</f>
        <v>0</v>
      </c>
      <c r="O4">
        <f t="shared" si="2"/>
        <v>0</v>
      </c>
      <c r="Q4">
        <v>1</v>
      </c>
      <c r="R4" t="s">
        <v>168</v>
      </c>
      <c r="S4">
        <v>1773</v>
      </c>
      <c r="T4">
        <v>1850</v>
      </c>
      <c r="U4">
        <v>1810</v>
      </c>
      <c r="V4">
        <f>T4-S4</f>
        <v>77</v>
      </c>
      <c r="W4">
        <f>U4-S4</f>
        <v>37</v>
      </c>
      <c r="X4">
        <f>V4-W4</f>
        <v>40</v>
      </c>
    </row>
    <row r="5" spans="2:24" ht="15.75" thickBot="1" x14ac:dyDescent="0.3">
      <c r="B5" s="1" t="str">
        <f t="shared" ref="B5:B22" si="3">R5</f>
        <v>Louis Philippe 2</v>
      </c>
      <c r="C5" s="1"/>
      <c r="D5" s="2">
        <f t="shared" ref="D5:E22" si="4">W5</f>
        <v>26</v>
      </c>
      <c r="E5" s="2">
        <f t="shared" si="4"/>
        <v>20</v>
      </c>
      <c r="F5" s="9">
        <f t="shared" ref="F5:F22" si="5">V5</f>
        <v>46</v>
      </c>
      <c r="G5" s="5">
        <f t="shared" ref="G5:G22" si="6">MOD(D5, 10)</f>
        <v>6</v>
      </c>
      <c r="H5" s="5">
        <f t="shared" ref="H5:H22" si="7">MOD(E5, 10)</f>
        <v>0</v>
      </c>
      <c r="I5" s="5">
        <f t="shared" ref="I5:I22" si="8">MOD(F5, 10)</f>
        <v>6</v>
      </c>
      <c r="J5">
        <f t="shared" ref="J5:J22" si="9">MOD(INT(D5/10),10)</f>
        <v>2</v>
      </c>
      <c r="K5">
        <f t="shared" ref="K5:K22" si="10">MOD(INT(E5/10),10)</f>
        <v>2</v>
      </c>
      <c r="L5">
        <f t="shared" ref="L5:L22" si="11">MOD(INT(F5/10),10)</f>
        <v>4</v>
      </c>
      <c r="M5">
        <f t="shared" ref="M5:M22" si="12">MOD(INT(D5/100),10)</f>
        <v>0</v>
      </c>
      <c r="N5">
        <f t="shared" ref="N5:N22" si="13">MOD(INT(E5/100),10)</f>
        <v>0</v>
      </c>
      <c r="O5">
        <f t="shared" ref="O5:O22" si="14">MOD(INT(F5/100),10)</f>
        <v>0</v>
      </c>
      <c r="Q5">
        <v>2</v>
      </c>
      <c r="R5" t="s">
        <v>169</v>
      </c>
      <c r="S5">
        <v>1747</v>
      </c>
      <c r="T5">
        <v>1793</v>
      </c>
      <c r="U5">
        <f>S4</f>
        <v>1773</v>
      </c>
      <c r="V5">
        <f t="shared" ref="V5:V22" si="15">T5-S5</f>
        <v>46</v>
      </c>
      <c r="W5">
        <f t="shared" ref="W5:W22" si="16">U5-S5</f>
        <v>26</v>
      </c>
      <c r="X5">
        <f t="shared" ref="X5:X22" si="17">V5-W5</f>
        <v>20</v>
      </c>
    </row>
    <row r="6" spans="2:24" ht="15.75" thickBot="1" x14ac:dyDescent="0.3">
      <c r="B6" s="1" t="str">
        <f t="shared" si="3"/>
        <v>Louis Philippe 1</v>
      </c>
      <c r="C6" s="1"/>
      <c r="D6" s="2">
        <f t="shared" si="4"/>
        <v>22</v>
      </c>
      <c r="E6" s="2">
        <f t="shared" si="4"/>
        <v>38</v>
      </c>
      <c r="F6" s="9">
        <f t="shared" si="5"/>
        <v>60</v>
      </c>
      <c r="G6" s="5">
        <f t="shared" si="6"/>
        <v>2</v>
      </c>
      <c r="H6" s="5">
        <f t="shared" si="7"/>
        <v>8</v>
      </c>
      <c r="I6" s="5">
        <f t="shared" si="8"/>
        <v>0</v>
      </c>
      <c r="J6">
        <f t="shared" si="9"/>
        <v>2</v>
      </c>
      <c r="K6">
        <f t="shared" si="10"/>
        <v>3</v>
      </c>
      <c r="L6">
        <f t="shared" si="11"/>
        <v>6</v>
      </c>
      <c r="M6">
        <f t="shared" si="12"/>
        <v>0</v>
      </c>
      <c r="N6">
        <f t="shared" si="13"/>
        <v>0</v>
      </c>
      <c r="O6">
        <f t="shared" si="14"/>
        <v>0</v>
      </c>
      <c r="Q6">
        <v>3</v>
      </c>
      <c r="R6" t="s">
        <v>168</v>
      </c>
      <c r="S6">
        <v>1725</v>
      </c>
      <c r="T6">
        <v>1785</v>
      </c>
      <c r="U6">
        <f t="shared" ref="U6:U22" si="18">S5</f>
        <v>1747</v>
      </c>
      <c r="V6">
        <f t="shared" si="15"/>
        <v>60</v>
      </c>
      <c r="W6">
        <f t="shared" si="16"/>
        <v>22</v>
      </c>
      <c r="X6">
        <f t="shared" si="17"/>
        <v>38</v>
      </c>
    </row>
    <row r="7" spans="2:24" ht="15.75" thickBot="1" x14ac:dyDescent="0.3">
      <c r="B7" s="1" t="str">
        <f t="shared" si="3"/>
        <v>Louis</v>
      </c>
      <c r="C7" s="1"/>
      <c r="D7" s="2">
        <f t="shared" si="4"/>
        <v>22</v>
      </c>
      <c r="E7" s="2">
        <f t="shared" si="4"/>
        <v>27</v>
      </c>
      <c r="F7" s="9">
        <f t="shared" si="5"/>
        <v>49</v>
      </c>
      <c r="G7" s="5">
        <f t="shared" si="6"/>
        <v>2</v>
      </c>
      <c r="H7" s="5">
        <f t="shared" si="7"/>
        <v>7</v>
      </c>
      <c r="I7" s="5">
        <f t="shared" si="8"/>
        <v>9</v>
      </c>
      <c r="J7">
        <f t="shared" si="9"/>
        <v>2</v>
      </c>
      <c r="K7">
        <f t="shared" si="10"/>
        <v>2</v>
      </c>
      <c r="L7">
        <f t="shared" si="11"/>
        <v>4</v>
      </c>
      <c r="M7">
        <f t="shared" si="12"/>
        <v>0</v>
      </c>
      <c r="N7">
        <f t="shared" si="13"/>
        <v>0</v>
      </c>
      <c r="O7">
        <f t="shared" si="14"/>
        <v>0</v>
      </c>
      <c r="Q7">
        <v>4</v>
      </c>
      <c r="R7" t="s">
        <v>170</v>
      </c>
      <c r="S7">
        <v>1703</v>
      </c>
      <c r="T7">
        <v>1752</v>
      </c>
      <c r="U7">
        <f t="shared" si="18"/>
        <v>1725</v>
      </c>
      <c r="V7">
        <f t="shared" si="15"/>
        <v>49</v>
      </c>
      <c r="W7">
        <f t="shared" si="16"/>
        <v>22</v>
      </c>
      <c r="X7">
        <f t="shared" si="17"/>
        <v>27</v>
      </c>
    </row>
    <row r="8" spans="2:24" ht="15.75" thickBot="1" x14ac:dyDescent="0.3">
      <c r="B8" s="1" t="str">
        <f t="shared" si="3"/>
        <v>Philippe 2</v>
      </c>
      <c r="C8" s="1"/>
      <c r="D8" s="2">
        <f t="shared" si="4"/>
        <v>29</v>
      </c>
      <c r="E8" s="2">
        <f t="shared" si="4"/>
        <v>20</v>
      </c>
      <c r="F8" s="9">
        <f t="shared" si="5"/>
        <v>49</v>
      </c>
      <c r="G8" s="5">
        <f t="shared" si="6"/>
        <v>9</v>
      </c>
      <c r="H8" s="5">
        <f t="shared" si="7"/>
        <v>0</v>
      </c>
      <c r="I8" s="5">
        <f t="shared" si="8"/>
        <v>9</v>
      </c>
      <c r="J8">
        <f t="shared" si="9"/>
        <v>2</v>
      </c>
      <c r="K8">
        <f t="shared" si="10"/>
        <v>2</v>
      </c>
      <c r="L8">
        <f t="shared" si="11"/>
        <v>4</v>
      </c>
      <c r="M8">
        <f t="shared" si="12"/>
        <v>0</v>
      </c>
      <c r="N8">
        <f t="shared" si="13"/>
        <v>0</v>
      </c>
      <c r="O8">
        <f t="shared" si="14"/>
        <v>0</v>
      </c>
      <c r="Q8">
        <v>5</v>
      </c>
      <c r="R8" t="s">
        <v>171</v>
      </c>
      <c r="S8">
        <v>1674</v>
      </c>
      <c r="T8">
        <v>1723</v>
      </c>
      <c r="U8">
        <f t="shared" si="18"/>
        <v>1703</v>
      </c>
      <c r="V8">
        <f t="shared" si="15"/>
        <v>49</v>
      </c>
      <c r="W8">
        <f t="shared" si="16"/>
        <v>29</v>
      </c>
      <c r="X8">
        <f t="shared" si="17"/>
        <v>20</v>
      </c>
    </row>
    <row r="9" spans="2:24" ht="15.75" thickBot="1" x14ac:dyDescent="0.3">
      <c r="B9" s="1" t="str">
        <f t="shared" si="3"/>
        <v>Philippe 1</v>
      </c>
      <c r="C9" s="1"/>
      <c r="D9" s="2">
        <f t="shared" si="4"/>
        <v>34</v>
      </c>
      <c r="E9" s="2">
        <f t="shared" si="4"/>
        <v>27</v>
      </c>
      <c r="F9" s="9">
        <f t="shared" si="5"/>
        <v>61</v>
      </c>
      <c r="G9" s="5">
        <f t="shared" si="6"/>
        <v>4</v>
      </c>
      <c r="H9" s="5">
        <f t="shared" si="7"/>
        <v>7</v>
      </c>
      <c r="I9" s="5">
        <f t="shared" si="8"/>
        <v>1</v>
      </c>
      <c r="J9">
        <f t="shared" si="9"/>
        <v>3</v>
      </c>
      <c r="K9">
        <f t="shared" si="10"/>
        <v>2</v>
      </c>
      <c r="L9">
        <f t="shared" si="11"/>
        <v>6</v>
      </c>
      <c r="M9">
        <f t="shared" si="12"/>
        <v>0</v>
      </c>
      <c r="N9">
        <f t="shared" si="13"/>
        <v>0</v>
      </c>
      <c r="O9">
        <f t="shared" si="14"/>
        <v>0</v>
      </c>
      <c r="Q9">
        <v>6</v>
      </c>
      <c r="R9" t="s">
        <v>172</v>
      </c>
      <c r="S9">
        <v>1640</v>
      </c>
      <c r="T9">
        <v>1701</v>
      </c>
      <c r="U9">
        <f t="shared" si="18"/>
        <v>1674</v>
      </c>
      <c r="V9">
        <f t="shared" si="15"/>
        <v>61</v>
      </c>
      <c r="W9">
        <f t="shared" si="16"/>
        <v>34</v>
      </c>
      <c r="X9">
        <f t="shared" si="17"/>
        <v>27</v>
      </c>
    </row>
    <row r="10" spans="2:24" ht="15.75" thickBot="1" x14ac:dyDescent="0.3">
      <c r="B10" s="1" t="str">
        <f t="shared" si="3"/>
        <v>Louis 8</v>
      </c>
      <c r="C10" s="1"/>
      <c r="D10" s="2">
        <f t="shared" si="4"/>
        <v>30</v>
      </c>
      <c r="E10" s="2">
        <f t="shared" si="4"/>
        <v>3</v>
      </c>
      <c r="F10" s="9">
        <f t="shared" si="5"/>
        <v>33</v>
      </c>
      <c r="G10" s="5">
        <f t="shared" si="6"/>
        <v>0</v>
      </c>
      <c r="H10" s="5">
        <f t="shared" si="7"/>
        <v>3</v>
      </c>
      <c r="I10" s="5">
        <f t="shared" si="8"/>
        <v>3</v>
      </c>
      <c r="J10">
        <f t="shared" si="9"/>
        <v>3</v>
      </c>
      <c r="K10">
        <f t="shared" si="10"/>
        <v>0</v>
      </c>
      <c r="L10">
        <f t="shared" si="11"/>
        <v>3</v>
      </c>
      <c r="M10">
        <f t="shared" si="12"/>
        <v>0</v>
      </c>
      <c r="N10">
        <f t="shared" si="13"/>
        <v>0</v>
      </c>
      <c r="O10">
        <f t="shared" si="14"/>
        <v>0</v>
      </c>
      <c r="Q10">
        <v>7</v>
      </c>
      <c r="R10" t="s">
        <v>173</v>
      </c>
      <c r="S10">
        <v>1610</v>
      </c>
      <c r="T10">
        <v>1643</v>
      </c>
      <c r="U10">
        <f t="shared" si="18"/>
        <v>1640</v>
      </c>
      <c r="V10">
        <f t="shared" si="15"/>
        <v>33</v>
      </c>
      <c r="W10">
        <f t="shared" si="16"/>
        <v>30</v>
      </c>
      <c r="X10">
        <f t="shared" si="17"/>
        <v>3</v>
      </c>
    </row>
    <row r="11" spans="2:24" ht="15.75" thickBot="1" x14ac:dyDescent="0.3">
      <c r="B11" s="1" t="str">
        <f t="shared" si="3"/>
        <v>Henry 4</v>
      </c>
      <c r="C11" s="1"/>
      <c r="D11" s="2">
        <f t="shared" si="4"/>
        <v>57</v>
      </c>
      <c r="E11" s="2">
        <f t="shared" si="4"/>
        <v>0</v>
      </c>
      <c r="F11" s="9">
        <f t="shared" si="5"/>
        <v>57</v>
      </c>
      <c r="G11" s="5">
        <f t="shared" si="6"/>
        <v>7</v>
      </c>
      <c r="H11" s="5">
        <f t="shared" si="7"/>
        <v>0</v>
      </c>
      <c r="I11" s="5">
        <f t="shared" si="8"/>
        <v>7</v>
      </c>
      <c r="J11">
        <f t="shared" si="9"/>
        <v>5</v>
      </c>
      <c r="K11">
        <f t="shared" si="10"/>
        <v>0</v>
      </c>
      <c r="L11">
        <f t="shared" si="11"/>
        <v>5</v>
      </c>
      <c r="M11">
        <f t="shared" si="12"/>
        <v>0</v>
      </c>
      <c r="N11">
        <f t="shared" si="13"/>
        <v>0</v>
      </c>
      <c r="O11">
        <f t="shared" si="14"/>
        <v>0</v>
      </c>
      <c r="Q11">
        <v>8</v>
      </c>
      <c r="R11" t="s">
        <v>174</v>
      </c>
      <c r="S11">
        <v>1553</v>
      </c>
      <c r="T11">
        <v>1610</v>
      </c>
      <c r="U11">
        <f t="shared" si="18"/>
        <v>1610</v>
      </c>
      <c r="V11">
        <f t="shared" si="15"/>
        <v>57</v>
      </c>
      <c r="W11">
        <f t="shared" si="16"/>
        <v>57</v>
      </c>
      <c r="X11">
        <f t="shared" si="17"/>
        <v>0</v>
      </c>
    </row>
    <row r="12" spans="2:24" ht="15.75" thickBot="1" x14ac:dyDescent="0.3">
      <c r="B12" s="1" t="str">
        <f t="shared" si="3"/>
        <v>Antoine</v>
      </c>
      <c r="C12" s="1"/>
      <c r="D12" s="2">
        <f t="shared" si="4"/>
        <v>35</v>
      </c>
      <c r="E12" s="2">
        <f t="shared" si="4"/>
        <v>9</v>
      </c>
      <c r="F12" s="9">
        <f t="shared" si="5"/>
        <v>44</v>
      </c>
      <c r="G12" s="5">
        <f t="shared" si="6"/>
        <v>5</v>
      </c>
      <c r="H12" s="5">
        <f t="shared" si="7"/>
        <v>9</v>
      </c>
      <c r="I12" s="5">
        <f t="shared" si="8"/>
        <v>4</v>
      </c>
      <c r="J12">
        <f t="shared" si="9"/>
        <v>3</v>
      </c>
      <c r="K12">
        <f t="shared" si="10"/>
        <v>0</v>
      </c>
      <c r="L12">
        <f t="shared" si="11"/>
        <v>4</v>
      </c>
      <c r="M12">
        <f t="shared" si="12"/>
        <v>0</v>
      </c>
      <c r="N12">
        <f t="shared" si="13"/>
        <v>0</v>
      </c>
      <c r="O12">
        <f t="shared" si="14"/>
        <v>0</v>
      </c>
      <c r="Q12">
        <v>9</v>
      </c>
      <c r="R12" t="s">
        <v>175</v>
      </c>
      <c r="S12">
        <v>1518</v>
      </c>
      <c r="T12">
        <v>1562</v>
      </c>
      <c r="U12">
        <f t="shared" si="18"/>
        <v>1553</v>
      </c>
      <c r="V12">
        <f t="shared" si="15"/>
        <v>44</v>
      </c>
      <c r="W12">
        <f t="shared" si="16"/>
        <v>35</v>
      </c>
      <c r="X12">
        <f t="shared" si="17"/>
        <v>9</v>
      </c>
    </row>
    <row r="13" spans="2:24" ht="15.75" thickBot="1" x14ac:dyDescent="0.3">
      <c r="B13" s="1" t="str">
        <f t="shared" si="3"/>
        <v>Charles</v>
      </c>
      <c r="C13" s="3"/>
      <c r="D13" s="2">
        <f t="shared" si="4"/>
        <v>29</v>
      </c>
      <c r="E13" s="2">
        <f t="shared" si="4"/>
        <v>19</v>
      </c>
      <c r="F13" s="9">
        <f t="shared" si="5"/>
        <v>48</v>
      </c>
      <c r="G13" s="5">
        <f t="shared" si="6"/>
        <v>9</v>
      </c>
      <c r="H13" s="5">
        <f t="shared" si="7"/>
        <v>9</v>
      </c>
      <c r="I13" s="5">
        <f t="shared" si="8"/>
        <v>8</v>
      </c>
      <c r="J13">
        <f t="shared" si="9"/>
        <v>2</v>
      </c>
      <c r="K13">
        <f t="shared" si="10"/>
        <v>1</v>
      </c>
      <c r="L13">
        <f t="shared" si="11"/>
        <v>4</v>
      </c>
      <c r="M13">
        <f t="shared" si="12"/>
        <v>0</v>
      </c>
      <c r="N13">
        <f t="shared" si="13"/>
        <v>0</v>
      </c>
      <c r="O13">
        <f t="shared" si="14"/>
        <v>0</v>
      </c>
      <c r="Q13">
        <v>10</v>
      </c>
      <c r="R13" t="s">
        <v>176</v>
      </c>
      <c r="S13">
        <v>1489</v>
      </c>
      <c r="T13">
        <v>1537</v>
      </c>
      <c r="U13">
        <f t="shared" si="18"/>
        <v>1518</v>
      </c>
      <c r="V13">
        <f t="shared" si="15"/>
        <v>48</v>
      </c>
      <c r="W13">
        <f t="shared" si="16"/>
        <v>29</v>
      </c>
      <c r="X13">
        <f t="shared" si="17"/>
        <v>19</v>
      </c>
    </row>
    <row r="14" spans="2:24" ht="15.75" thickBot="1" x14ac:dyDescent="0.3">
      <c r="B14" s="1" t="str">
        <f t="shared" si="3"/>
        <v>Francis</v>
      </c>
      <c r="C14" s="1"/>
      <c r="D14" s="2">
        <f t="shared" si="4"/>
        <v>19</v>
      </c>
      <c r="E14" s="2">
        <f t="shared" si="4"/>
        <v>6</v>
      </c>
      <c r="F14" s="9">
        <f t="shared" si="5"/>
        <v>25</v>
      </c>
      <c r="G14" s="5">
        <f t="shared" si="6"/>
        <v>9</v>
      </c>
      <c r="H14" s="5">
        <f t="shared" si="7"/>
        <v>6</v>
      </c>
      <c r="I14" s="5">
        <f t="shared" si="8"/>
        <v>5</v>
      </c>
      <c r="J14">
        <f t="shared" si="9"/>
        <v>1</v>
      </c>
      <c r="K14">
        <f t="shared" si="10"/>
        <v>0</v>
      </c>
      <c r="L14">
        <f t="shared" si="11"/>
        <v>2</v>
      </c>
      <c r="M14">
        <f t="shared" si="12"/>
        <v>0</v>
      </c>
      <c r="N14">
        <f t="shared" si="13"/>
        <v>0</v>
      </c>
      <c r="O14">
        <f t="shared" si="14"/>
        <v>0</v>
      </c>
      <c r="Q14">
        <v>11</v>
      </c>
      <c r="R14" t="s">
        <v>177</v>
      </c>
      <c r="S14">
        <v>1470</v>
      </c>
      <c r="T14">
        <v>1495</v>
      </c>
      <c r="U14">
        <f t="shared" si="18"/>
        <v>1489</v>
      </c>
      <c r="V14">
        <f t="shared" si="15"/>
        <v>25</v>
      </c>
      <c r="W14">
        <f t="shared" si="16"/>
        <v>19</v>
      </c>
      <c r="X14">
        <f t="shared" si="17"/>
        <v>6</v>
      </c>
    </row>
    <row r="15" spans="2:24" ht="15.75" thickBot="1" x14ac:dyDescent="0.3">
      <c r="B15" s="1" t="str">
        <f t="shared" si="3"/>
        <v>John 8</v>
      </c>
      <c r="C15" s="1"/>
      <c r="D15" s="2">
        <f t="shared" si="4"/>
        <v>45</v>
      </c>
      <c r="E15" s="2">
        <f t="shared" si="4"/>
        <v>7</v>
      </c>
      <c r="F15" s="9">
        <f t="shared" si="5"/>
        <v>52</v>
      </c>
      <c r="G15" s="5">
        <f t="shared" si="6"/>
        <v>5</v>
      </c>
      <c r="H15" s="5">
        <f t="shared" si="7"/>
        <v>7</v>
      </c>
      <c r="I15" s="5">
        <f t="shared" si="8"/>
        <v>2</v>
      </c>
      <c r="J15">
        <f t="shared" si="9"/>
        <v>4</v>
      </c>
      <c r="K15">
        <f t="shared" si="10"/>
        <v>0</v>
      </c>
      <c r="L15">
        <f t="shared" si="11"/>
        <v>5</v>
      </c>
      <c r="M15">
        <f t="shared" si="12"/>
        <v>0</v>
      </c>
      <c r="N15">
        <f t="shared" si="13"/>
        <v>0</v>
      </c>
      <c r="O15">
        <f t="shared" si="14"/>
        <v>0</v>
      </c>
      <c r="Q15">
        <v>12</v>
      </c>
      <c r="R15" t="s">
        <v>178</v>
      </c>
      <c r="S15">
        <v>1425</v>
      </c>
      <c r="T15">
        <v>1477</v>
      </c>
      <c r="U15">
        <f t="shared" si="18"/>
        <v>1470</v>
      </c>
      <c r="V15">
        <f t="shared" si="15"/>
        <v>52</v>
      </c>
      <c r="W15">
        <f t="shared" si="16"/>
        <v>45</v>
      </c>
      <c r="X15">
        <f t="shared" si="17"/>
        <v>7</v>
      </c>
    </row>
    <row r="16" spans="2:24" ht="15.75" thickBot="1" x14ac:dyDescent="0.3">
      <c r="B16" s="1" t="str">
        <f t="shared" si="3"/>
        <v>Louis</v>
      </c>
      <c r="C16" s="1"/>
      <c r="D16" s="2">
        <f t="shared" si="4"/>
        <v>49</v>
      </c>
      <c r="E16" s="2">
        <f t="shared" si="4"/>
        <v>21</v>
      </c>
      <c r="F16" s="9">
        <f t="shared" si="5"/>
        <v>70</v>
      </c>
      <c r="G16" s="5">
        <f t="shared" si="6"/>
        <v>9</v>
      </c>
      <c r="H16" s="5">
        <f t="shared" si="7"/>
        <v>1</v>
      </c>
      <c r="I16" s="5">
        <f t="shared" si="8"/>
        <v>0</v>
      </c>
      <c r="J16">
        <f t="shared" si="9"/>
        <v>4</v>
      </c>
      <c r="K16">
        <f t="shared" si="10"/>
        <v>2</v>
      </c>
      <c r="L16">
        <f t="shared" si="11"/>
        <v>7</v>
      </c>
      <c r="M16">
        <f t="shared" si="12"/>
        <v>0</v>
      </c>
      <c r="N16">
        <f t="shared" si="13"/>
        <v>0</v>
      </c>
      <c r="O16">
        <f t="shared" si="14"/>
        <v>0</v>
      </c>
      <c r="Q16">
        <v>13</v>
      </c>
      <c r="R16" t="s">
        <v>170</v>
      </c>
      <c r="S16">
        <v>1376</v>
      </c>
      <c r="T16">
        <v>1446</v>
      </c>
      <c r="U16">
        <f t="shared" si="18"/>
        <v>1425</v>
      </c>
      <c r="V16">
        <f t="shared" si="15"/>
        <v>70</v>
      </c>
      <c r="W16">
        <f t="shared" si="16"/>
        <v>49</v>
      </c>
      <c r="X16">
        <f t="shared" si="17"/>
        <v>21</v>
      </c>
    </row>
    <row r="17" spans="2:24" ht="15.75" thickBot="1" x14ac:dyDescent="0.3">
      <c r="B17" s="1" t="str">
        <f t="shared" si="3"/>
        <v>John 1</v>
      </c>
      <c r="C17" s="1"/>
      <c r="D17" s="2">
        <f t="shared" si="4"/>
        <v>32</v>
      </c>
      <c r="E17" s="2">
        <f t="shared" si="4"/>
        <v>17</v>
      </c>
      <c r="F17" s="9">
        <f t="shared" si="5"/>
        <v>49</v>
      </c>
      <c r="G17" s="5">
        <f t="shared" si="6"/>
        <v>2</v>
      </c>
      <c r="H17" s="5">
        <f t="shared" si="7"/>
        <v>7</v>
      </c>
      <c r="I17" s="5">
        <f t="shared" si="8"/>
        <v>9</v>
      </c>
      <c r="J17">
        <f t="shared" si="9"/>
        <v>3</v>
      </c>
      <c r="K17">
        <f t="shared" si="10"/>
        <v>1</v>
      </c>
      <c r="L17">
        <f t="shared" si="11"/>
        <v>4</v>
      </c>
      <c r="M17">
        <f t="shared" si="12"/>
        <v>0</v>
      </c>
      <c r="N17">
        <f t="shared" si="13"/>
        <v>0</v>
      </c>
      <c r="O17">
        <f t="shared" si="14"/>
        <v>0</v>
      </c>
      <c r="Q17">
        <v>14</v>
      </c>
      <c r="R17" t="s">
        <v>179</v>
      </c>
      <c r="S17">
        <v>1344</v>
      </c>
      <c r="T17">
        <v>1393</v>
      </c>
      <c r="U17">
        <f t="shared" si="18"/>
        <v>1376</v>
      </c>
      <c r="V17">
        <f t="shared" si="15"/>
        <v>49</v>
      </c>
      <c r="W17">
        <f t="shared" si="16"/>
        <v>32</v>
      </c>
      <c r="X17">
        <f t="shared" si="17"/>
        <v>17</v>
      </c>
    </row>
    <row r="18" spans="2:24" ht="15.75" thickBot="1" x14ac:dyDescent="0.3">
      <c r="B18" s="1" t="str">
        <f t="shared" si="3"/>
        <v>James 1</v>
      </c>
      <c r="C18" s="1"/>
      <c r="D18" s="2">
        <f t="shared" si="4"/>
        <v>25</v>
      </c>
      <c r="E18" s="2">
        <f t="shared" si="4"/>
        <v>18</v>
      </c>
      <c r="F18" s="9">
        <f t="shared" si="5"/>
        <v>43</v>
      </c>
      <c r="G18" s="5">
        <f t="shared" si="6"/>
        <v>5</v>
      </c>
      <c r="H18" s="5">
        <f t="shared" si="7"/>
        <v>8</v>
      </c>
      <c r="I18" s="5">
        <f t="shared" si="8"/>
        <v>3</v>
      </c>
      <c r="J18">
        <f t="shared" si="9"/>
        <v>2</v>
      </c>
      <c r="K18">
        <f t="shared" si="10"/>
        <v>1</v>
      </c>
      <c r="L18">
        <f t="shared" si="11"/>
        <v>4</v>
      </c>
      <c r="M18">
        <f t="shared" si="12"/>
        <v>0</v>
      </c>
      <c r="N18">
        <f t="shared" si="13"/>
        <v>0</v>
      </c>
      <c r="O18">
        <f t="shared" si="14"/>
        <v>0</v>
      </c>
      <c r="Q18">
        <v>15</v>
      </c>
      <c r="R18" t="s">
        <v>180</v>
      </c>
      <c r="S18">
        <v>1319</v>
      </c>
      <c r="T18">
        <v>1362</v>
      </c>
      <c r="U18">
        <f t="shared" si="18"/>
        <v>1344</v>
      </c>
      <c r="V18">
        <f t="shared" si="15"/>
        <v>43</v>
      </c>
      <c r="W18">
        <f t="shared" si="16"/>
        <v>25</v>
      </c>
      <c r="X18">
        <f t="shared" si="17"/>
        <v>18</v>
      </c>
    </row>
    <row r="19" spans="2:24" ht="15.75" thickBot="1" x14ac:dyDescent="0.3">
      <c r="B19" s="1" t="str">
        <f t="shared" si="3"/>
        <v>Louis 1</v>
      </c>
      <c r="C19" s="1"/>
      <c r="D19" s="2">
        <f t="shared" si="4"/>
        <v>40</v>
      </c>
      <c r="E19" s="2">
        <f t="shared" si="4"/>
        <v>22</v>
      </c>
      <c r="F19" s="9">
        <f t="shared" si="5"/>
        <v>62</v>
      </c>
      <c r="G19" s="5">
        <f t="shared" si="6"/>
        <v>0</v>
      </c>
      <c r="H19" s="5">
        <f t="shared" si="7"/>
        <v>2</v>
      </c>
      <c r="I19" s="5">
        <f t="shared" si="8"/>
        <v>2</v>
      </c>
      <c r="J19">
        <f t="shared" si="9"/>
        <v>4</v>
      </c>
      <c r="K19">
        <f t="shared" si="10"/>
        <v>2</v>
      </c>
      <c r="L19">
        <f t="shared" si="11"/>
        <v>6</v>
      </c>
      <c r="M19">
        <f t="shared" si="12"/>
        <v>0</v>
      </c>
      <c r="N19">
        <f t="shared" si="13"/>
        <v>0</v>
      </c>
      <c r="O19">
        <f t="shared" si="14"/>
        <v>0</v>
      </c>
      <c r="Q19">
        <v>16</v>
      </c>
      <c r="R19" t="s">
        <v>181</v>
      </c>
      <c r="S19">
        <v>1279</v>
      </c>
      <c r="T19">
        <v>1341</v>
      </c>
      <c r="U19">
        <f t="shared" si="18"/>
        <v>1319</v>
      </c>
      <c r="V19">
        <f t="shared" si="15"/>
        <v>62</v>
      </c>
      <c r="W19">
        <f t="shared" si="16"/>
        <v>40</v>
      </c>
      <c r="X19">
        <f t="shared" si="17"/>
        <v>22</v>
      </c>
    </row>
    <row r="20" spans="2:24" ht="15.75" thickBot="1" x14ac:dyDescent="0.3">
      <c r="B20" s="1" t="str">
        <f t="shared" si="3"/>
        <v>Robert</v>
      </c>
      <c r="C20" s="1"/>
      <c r="D20" s="2">
        <f t="shared" si="4"/>
        <v>23</v>
      </c>
      <c r="E20" s="2">
        <f t="shared" si="4"/>
        <v>38</v>
      </c>
      <c r="F20" s="9">
        <f t="shared" si="5"/>
        <v>61</v>
      </c>
      <c r="G20" s="5">
        <f t="shared" si="6"/>
        <v>3</v>
      </c>
      <c r="H20" s="5">
        <f t="shared" si="7"/>
        <v>8</v>
      </c>
      <c r="I20" s="5">
        <f t="shared" si="8"/>
        <v>1</v>
      </c>
      <c r="J20">
        <f t="shared" si="9"/>
        <v>2</v>
      </c>
      <c r="K20">
        <f t="shared" si="10"/>
        <v>3</v>
      </c>
      <c r="L20">
        <f t="shared" si="11"/>
        <v>6</v>
      </c>
      <c r="M20">
        <f t="shared" si="12"/>
        <v>0</v>
      </c>
      <c r="N20">
        <f t="shared" si="13"/>
        <v>0</v>
      </c>
      <c r="O20">
        <f t="shared" si="14"/>
        <v>0</v>
      </c>
      <c r="Q20">
        <v>17</v>
      </c>
      <c r="R20" t="s">
        <v>182</v>
      </c>
      <c r="S20">
        <v>1256</v>
      </c>
      <c r="T20">
        <v>1317</v>
      </c>
      <c r="U20">
        <f t="shared" si="18"/>
        <v>1279</v>
      </c>
      <c r="V20">
        <f t="shared" si="15"/>
        <v>61</v>
      </c>
      <c r="W20">
        <f t="shared" si="16"/>
        <v>23</v>
      </c>
      <c r="X20">
        <f t="shared" si="17"/>
        <v>38</v>
      </c>
    </row>
    <row r="21" spans="2:24" ht="15.75" thickBot="1" x14ac:dyDescent="0.3">
      <c r="B21" s="1" t="str">
        <f t="shared" si="3"/>
        <v>Louis 9</v>
      </c>
      <c r="C21" s="1"/>
      <c r="D21" s="2">
        <f t="shared" si="4"/>
        <v>42</v>
      </c>
      <c r="E21" s="2">
        <f t="shared" si="4"/>
        <v>14</v>
      </c>
      <c r="F21" s="9">
        <f t="shared" si="5"/>
        <v>56</v>
      </c>
      <c r="G21" s="5">
        <f t="shared" si="6"/>
        <v>2</v>
      </c>
      <c r="H21" s="5">
        <f t="shared" si="7"/>
        <v>4</v>
      </c>
      <c r="I21" s="5">
        <f t="shared" si="8"/>
        <v>6</v>
      </c>
      <c r="J21">
        <f t="shared" si="9"/>
        <v>4</v>
      </c>
      <c r="K21">
        <f t="shared" si="10"/>
        <v>1</v>
      </c>
      <c r="L21">
        <f t="shared" si="11"/>
        <v>5</v>
      </c>
      <c r="M21">
        <f t="shared" si="12"/>
        <v>0</v>
      </c>
      <c r="N21">
        <f t="shared" si="13"/>
        <v>0</v>
      </c>
      <c r="O21">
        <f t="shared" si="14"/>
        <v>0</v>
      </c>
      <c r="Q21">
        <v>18</v>
      </c>
      <c r="R21" t="s">
        <v>183</v>
      </c>
      <c r="S21">
        <v>1214</v>
      </c>
      <c r="T21">
        <v>1270</v>
      </c>
      <c r="U21">
        <f t="shared" si="18"/>
        <v>1256</v>
      </c>
      <c r="V21">
        <f t="shared" si="15"/>
        <v>56</v>
      </c>
      <c r="W21">
        <f t="shared" si="16"/>
        <v>42</v>
      </c>
      <c r="X21">
        <f t="shared" si="17"/>
        <v>14</v>
      </c>
    </row>
    <row r="22" spans="2:24" ht="15.75" thickBot="1" x14ac:dyDescent="0.3">
      <c r="B22" s="1" t="str">
        <f t="shared" si="3"/>
        <v>Louis 8</v>
      </c>
      <c r="C22" s="1"/>
      <c r="D22" s="2">
        <f t="shared" si="4"/>
        <v>27</v>
      </c>
      <c r="E22" s="2">
        <f t="shared" si="4"/>
        <v>12</v>
      </c>
      <c r="F22" s="9">
        <f t="shared" si="5"/>
        <v>39</v>
      </c>
      <c r="G22" s="5">
        <f t="shared" si="6"/>
        <v>7</v>
      </c>
      <c r="H22" s="5">
        <f t="shared" si="7"/>
        <v>2</v>
      </c>
      <c r="I22" s="5">
        <f t="shared" si="8"/>
        <v>9</v>
      </c>
      <c r="J22">
        <f t="shared" si="9"/>
        <v>2</v>
      </c>
      <c r="K22">
        <f t="shared" si="10"/>
        <v>1</v>
      </c>
      <c r="L22">
        <f t="shared" si="11"/>
        <v>3</v>
      </c>
      <c r="M22">
        <f t="shared" si="12"/>
        <v>0</v>
      </c>
      <c r="N22">
        <f t="shared" si="13"/>
        <v>0</v>
      </c>
      <c r="O22">
        <f t="shared" si="14"/>
        <v>0</v>
      </c>
      <c r="Q22">
        <v>19</v>
      </c>
      <c r="R22" t="s">
        <v>173</v>
      </c>
      <c r="S22">
        <v>1187</v>
      </c>
      <c r="T22">
        <v>1226</v>
      </c>
      <c r="U22">
        <f t="shared" si="18"/>
        <v>1214</v>
      </c>
      <c r="V22">
        <f t="shared" si="15"/>
        <v>39</v>
      </c>
      <c r="W22">
        <f t="shared" si="16"/>
        <v>27</v>
      </c>
      <c r="X22">
        <f t="shared" si="17"/>
        <v>12</v>
      </c>
    </row>
    <row r="23" spans="2:24" x14ac:dyDescent="0.25">
      <c r="B23" s="5"/>
      <c r="C23" s="5" t="s">
        <v>31</v>
      </c>
      <c r="D23" s="6">
        <f>SUM(D14:D22)</f>
        <v>302</v>
      </c>
      <c r="E23" s="5">
        <f>SUM(E14:E22)</f>
        <v>155</v>
      </c>
      <c r="F23" s="6">
        <f>SUM(F14:F22)</f>
        <v>457</v>
      </c>
      <c r="G23" s="5"/>
      <c r="H23" s="5"/>
      <c r="I23" s="5"/>
      <c r="J23" s="7"/>
      <c r="K23" s="5"/>
    </row>
    <row r="24" spans="2:24" x14ac:dyDescent="0.25">
      <c r="B24" s="5"/>
      <c r="C24" s="5"/>
      <c r="D24" s="6"/>
      <c r="E24" s="5"/>
      <c r="F24" s="6"/>
      <c r="G24" s="5"/>
      <c r="H24" s="5"/>
      <c r="I24" s="5"/>
      <c r="J24" s="7"/>
      <c r="K24" s="5"/>
    </row>
    <row r="25" spans="2:24" x14ac:dyDescent="0.25">
      <c r="B25" s="5"/>
      <c r="C25" s="5"/>
      <c r="D25" s="6"/>
      <c r="E25" s="5"/>
      <c r="F25" s="6"/>
      <c r="G25" s="5"/>
      <c r="H25" s="5"/>
      <c r="I25" s="5"/>
      <c r="J25" s="7"/>
      <c r="K25" s="5"/>
    </row>
    <row r="26" spans="2:24" x14ac:dyDescent="0.25">
      <c r="B26" s="5"/>
      <c r="C26" s="5"/>
      <c r="D26" s="6"/>
      <c r="E26" s="5"/>
      <c r="F26" s="6"/>
      <c r="G26" s="5"/>
      <c r="H26" s="5"/>
      <c r="I26" s="5"/>
      <c r="J26" s="7"/>
      <c r="K26" s="5"/>
      <c r="L26" s="5"/>
      <c r="N26" s="5"/>
      <c r="O26" s="5"/>
    </row>
    <row r="27" spans="2:24" x14ac:dyDescent="0.25">
      <c r="B27" s="5"/>
      <c r="C27" s="5"/>
      <c r="D27" s="6"/>
      <c r="E27" s="6"/>
      <c r="F27">
        <v>0</v>
      </c>
      <c r="G27">
        <f t="shared" ref="G27:O36" si="19">COUNTIF(G$4:G$22,$F27)</f>
        <v>2</v>
      </c>
      <c r="H27">
        <f t="shared" si="19"/>
        <v>4</v>
      </c>
      <c r="I27">
        <f t="shared" si="19"/>
        <v>2</v>
      </c>
      <c r="J27">
        <f t="shared" si="19"/>
        <v>0</v>
      </c>
      <c r="K27">
        <f t="shared" si="19"/>
        <v>5</v>
      </c>
      <c r="L27">
        <f t="shared" si="19"/>
        <v>0</v>
      </c>
      <c r="M27">
        <f t="shared" si="19"/>
        <v>19</v>
      </c>
      <c r="N27">
        <f t="shared" si="19"/>
        <v>19</v>
      </c>
      <c r="O27">
        <f t="shared" si="19"/>
        <v>19</v>
      </c>
    </row>
    <row r="28" spans="2:24" x14ac:dyDescent="0.25">
      <c r="B28" s="5"/>
      <c r="C28" s="5"/>
      <c r="D28" s="6"/>
      <c r="E28" s="6"/>
      <c r="F28">
        <v>1</v>
      </c>
      <c r="G28">
        <f t="shared" si="19"/>
        <v>0</v>
      </c>
      <c r="H28">
        <f t="shared" si="19"/>
        <v>1</v>
      </c>
      <c r="I28">
        <f t="shared" si="19"/>
        <v>2</v>
      </c>
      <c r="J28">
        <f t="shared" si="19"/>
        <v>1</v>
      </c>
      <c r="K28">
        <f t="shared" si="19"/>
        <v>5</v>
      </c>
      <c r="L28">
        <f t="shared" si="19"/>
        <v>0</v>
      </c>
      <c r="M28">
        <f t="shared" si="19"/>
        <v>0</v>
      </c>
      <c r="N28">
        <f t="shared" si="19"/>
        <v>0</v>
      </c>
      <c r="O28">
        <f t="shared" si="19"/>
        <v>0</v>
      </c>
    </row>
    <row r="29" spans="2:24" x14ac:dyDescent="0.25">
      <c r="B29" s="5"/>
      <c r="C29" s="5"/>
      <c r="D29" s="6"/>
      <c r="E29" s="6"/>
      <c r="F29">
        <v>2</v>
      </c>
      <c r="G29">
        <f t="shared" si="19"/>
        <v>4</v>
      </c>
      <c r="H29">
        <f t="shared" si="19"/>
        <v>2</v>
      </c>
      <c r="I29">
        <f t="shared" si="19"/>
        <v>2</v>
      </c>
      <c r="J29">
        <f t="shared" si="19"/>
        <v>8</v>
      </c>
      <c r="K29">
        <f t="shared" si="19"/>
        <v>6</v>
      </c>
      <c r="L29">
        <f t="shared" si="19"/>
        <v>1</v>
      </c>
      <c r="M29">
        <f t="shared" si="19"/>
        <v>0</v>
      </c>
      <c r="N29">
        <f t="shared" si="19"/>
        <v>0</v>
      </c>
      <c r="O29">
        <f t="shared" si="19"/>
        <v>0</v>
      </c>
    </row>
    <row r="30" spans="2:24" x14ac:dyDescent="0.25">
      <c r="B30" s="5"/>
      <c r="C30" s="5"/>
      <c r="D30" s="6"/>
      <c r="E30" s="6"/>
      <c r="F30">
        <v>3</v>
      </c>
      <c r="G30">
        <f t="shared" si="19"/>
        <v>1</v>
      </c>
      <c r="H30">
        <f t="shared" si="19"/>
        <v>1</v>
      </c>
      <c r="I30">
        <f t="shared" si="19"/>
        <v>2</v>
      </c>
      <c r="J30">
        <f t="shared" si="19"/>
        <v>5</v>
      </c>
      <c r="K30">
        <f t="shared" si="19"/>
        <v>2</v>
      </c>
      <c r="L30">
        <f t="shared" si="19"/>
        <v>2</v>
      </c>
      <c r="M30">
        <f t="shared" si="19"/>
        <v>0</v>
      </c>
      <c r="N30">
        <f t="shared" si="19"/>
        <v>0</v>
      </c>
      <c r="O30">
        <f t="shared" si="19"/>
        <v>0</v>
      </c>
    </row>
    <row r="31" spans="2:24" x14ac:dyDescent="0.25">
      <c r="B31" s="5"/>
      <c r="C31" s="5"/>
      <c r="D31" s="6"/>
      <c r="E31" s="6"/>
      <c r="F31">
        <v>4</v>
      </c>
      <c r="G31">
        <f t="shared" si="19"/>
        <v>1</v>
      </c>
      <c r="H31">
        <f t="shared" si="19"/>
        <v>1</v>
      </c>
      <c r="I31">
        <f t="shared" si="19"/>
        <v>1</v>
      </c>
      <c r="J31">
        <f t="shared" si="19"/>
        <v>4</v>
      </c>
      <c r="K31">
        <f t="shared" si="19"/>
        <v>1</v>
      </c>
      <c r="L31">
        <f t="shared" si="19"/>
        <v>7</v>
      </c>
      <c r="M31">
        <f t="shared" si="19"/>
        <v>0</v>
      </c>
      <c r="N31">
        <f t="shared" si="19"/>
        <v>0</v>
      </c>
      <c r="O31">
        <f t="shared" si="19"/>
        <v>0</v>
      </c>
    </row>
    <row r="32" spans="2:24" x14ac:dyDescent="0.25">
      <c r="B32" s="5"/>
      <c r="C32" s="5"/>
      <c r="D32" s="6"/>
      <c r="E32" s="6"/>
      <c r="F32">
        <v>5</v>
      </c>
      <c r="G32">
        <f t="shared" si="19"/>
        <v>3</v>
      </c>
      <c r="H32">
        <f t="shared" si="19"/>
        <v>0</v>
      </c>
      <c r="I32">
        <f t="shared" si="19"/>
        <v>1</v>
      </c>
      <c r="J32">
        <f t="shared" si="19"/>
        <v>1</v>
      </c>
      <c r="K32">
        <f t="shared" si="19"/>
        <v>0</v>
      </c>
      <c r="L32">
        <f t="shared" si="19"/>
        <v>3</v>
      </c>
      <c r="M32">
        <f t="shared" si="19"/>
        <v>0</v>
      </c>
      <c r="N32">
        <f t="shared" si="19"/>
        <v>0</v>
      </c>
      <c r="O32">
        <f t="shared" si="19"/>
        <v>0</v>
      </c>
    </row>
    <row r="33" spans="2:15" x14ac:dyDescent="0.25">
      <c r="B33" s="5"/>
      <c r="C33" s="5"/>
      <c r="D33" s="6"/>
      <c r="E33" s="6"/>
      <c r="F33">
        <v>6</v>
      </c>
      <c r="G33">
        <f t="shared" si="19"/>
        <v>1</v>
      </c>
      <c r="H33">
        <f t="shared" si="19"/>
        <v>1</v>
      </c>
      <c r="I33">
        <f t="shared" si="19"/>
        <v>2</v>
      </c>
      <c r="J33">
        <f t="shared" si="19"/>
        <v>0</v>
      </c>
      <c r="K33">
        <f t="shared" si="19"/>
        <v>0</v>
      </c>
      <c r="L33">
        <f t="shared" si="19"/>
        <v>4</v>
      </c>
      <c r="M33">
        <f t="shared" si="19"/>
        <v>0</v>
      </c>
      <c r="N33">
        <f t="shared" si="19"/>
        <v>0</v>
      </c>
      <c r="O33">
        <f t="shared" si="19"/>
        <v>0</v>
      </c>
    </row>
    <row r="34" spans="2:15" x14ac:dyDescent="0.25">
      <c r="B34" s="5"/>
      <c r="C34" s="5"/>
      <c r="D34" s="6"/>
      <c r="E34" s="6"/>
      <c r="F34">
        <v>7</v>
      </c>
      <c r="G34">
        <f t="shared" si="19"/>
        <v>3</v>
      </c>
      <c r="H34">
        <f t="shared" si="19"/>
        <v>4</v>
      </c>
      <c r="I34">
        <f t="shared" si="19"/>
        <v>2</v>
      </c>
      <c r="J34">
        <f t="shared" si="19"/>
        <v>0</v>
      </c>
      <c r="K34">
        <f t="shared" si="19"/>
        <v>0</v>
      </c>
      <c r="L34">
        <f t="shared" si="19"/>
        <v>2</v>
      </c>
      <c r="M34">
        <f t="shared" si="19"/>
        <v>0</v>
      </c>
      <c r="N34">
        <f t="shared" si="19"/>
        <v>0</v>
      </c>
      <c r="O34">
        <f t="shared" si="19"/>
        <v>0</v>
      </c>
    </row>
    <row r="35" spans="2:15" x14ac:dyDescent="0.25">
      <c r="B35" s="5"/>
      <c r="C35" s="5"/>
      <c r="D35" s="6"/>
      <c r="E35" s="5"/>
      <c r="F35">
        <v>8</v>
      </c>
      <c r="G35">
        <f t="shared" si="19"/>
        <v>0</v>
      </c>
      <c r="H35">
        <f t="shared" si="19"/>
        <v>3</v>
      </c>
      <c r="I35">
        <f t="shared" si="19"/>
        <v>1</v>
      </c>
      <c r="J35">
        <f t="shared" si="19"/>
        <v>0</v>
      </c>
      <c r="K35">
        <f t="shared" si="19"/>
        <v>0</v>
      </c>
      <c r="L35">
        <f t="shared" si="19"/>
        <v>0</v>
      </c>
      <c r="M35">
        <f t="shared" si="19"/>
        <v>0</v>
      </c>
      <c r="N35">
        <f t="shared" si="19"/>
        <v>0</v>
      </c>
      <c r="O35">
        <f t="shared" si="19"/>
        <v>0</v>
      </c>
    </row>
    <row r="36" spans="2:15" x14ac:dyDescent="0.25">
      <c r="F36">
        <v>9</v>
      </c>
      <c r="G36">
        <f t="shared" si="19"/>
        <v>4</v>
      </c>
      <c r="H36">
        <f t="shared" si="19"/>
        <v>2</v>
      </c>
      <c r="I36">
        <f t="shared" si="19"/>
        <v>4</v>
      </c>
      <c r="J36">
        <f t="shared" si="19"/>
        <v>0</v>
      </c>
      <c r="K36">
        <f>COUNTIF(K$4:K$22,$F36)</f>
        <v>0</v>
      </c>
      <c r="L36">
        <f t="shared" si="19"/>
        <v>0</v>
      </c>
      <c r="M36">
        <f t="shared" si="19"/>
        <v>0</v>
      </c>
      <c r="N36">
        <f t="shared" si="19"/>
        <v>0</v>
      </c>
      <c r="O36">
        <f t="shared" si="19"/>
        <v>0</v>
      </c>
    </row>
    <row r="56" spans="8:13" x14ac:dyDescent="0.25">
      <c r="H56" s="36"/>
      <c r="I56" s="36"/>
      <c r="J56" s="36"/>
      <c r="K56" s="36"/>
      <c r="L56" s="36"/>
      <c r="M56" s="36"/>
    </row>
  </sheetData>
  <mergeCells count="6">
    <mergeCell ref="D2:F2"/>
    <mergeCell ref="G2:I2"/>
    <mergeCell ref="J2:L2"/>
    <mergeCell ref="M2:O2"/>
    <mergeCell ref="H56:J56"/>
    <mergeCell ref="K56:M56"/>
  </mergeCells>
  <hyperlinks>
    <hyperlink ref="S2" r:id="rId1" xr:uid="{3F44EFDB-1283-4872-84AF-A1D558F4293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5E27-0CCE-45D0-87C2-53697A3E17A9}">
  <dimension ref="B1:X56"/>
  <sheetViews>
    <sheetView zoomScale="70" zoomScaleNormal="70" workbookViewId="0">
      <selection activeCell="C32" sqref="C32"/>
    </sheetView>
  </sheetViews>
  <sheetFormatPr defaultRowHeight="15" x14ac:dyDescent="0.25"/>
  <cols>
    <col min="2" max="2" width="13.7109375" customWidth="1"/>
    <col min="3" max="3" width="12.7109375" customWidth="1"/>
    <col min="7" max="8" width="12.7109375" bestFit="1" customWidth="1"/>
    <col min="10" max="10" width="17.140625" customWidth="1"/>
    <col min="13" max="13" width="11" customWidth="1"/>
  </cols>
  <sheetData>
    <row r="1" spans="2:24" ht="15.75" thickBot="1" x14ac:dyDescent="0.3"/>
    <row r="2" spans="2:24" ht="15.75" thickBot="1" x14ac:dyDescent="0.3">
      <c r="B2" s="1" t="s">
        <v>0</v>
      </c>
      <c r="C2" s="1"/>
      <c r="D2" s="33" t="s">
        <v>16</v>
      </c>
      <c r="E2" s="34"/>
      <c r="F2" s="34"/>
      <c r="G2" s="35" t="s">
        <v>17</v>
      </c>
      <c r="H2" s="35"/>
      <c r="I2" s="35"/>
      <c r="J2" s="35" t="s">
        <v>18</v>
      </c>
      <c r="K2" s="35"/>
      <c r="L2" s="35"/>
      <c r="M2" s="35" t="s">
        <v>19</v>
      </c>
      <c r="N2" s="35"/>
      <c r="O2" s="35"/>
      <c r="R2" s="29" t="s">
        <v>143</v>
      </c>
    </row>
    <row r="3" spans="2:24" ht="39.75" thickBot="1" x14ac:dyDescent="0.3">
      <c r="B3" s="1" t="s">
        <v>1</v>
      </c>
      <c r="C3" s="1" t="s">
        <v>2</v>
      </c>
      <c r="D3" s="1" t="s">
        <v>3</v>
      </c>
      <c r="E3" s="1" t="s">
        <v>210</v>
      </c>
      <c r="F3" s="8" t="s">
        <v>4</v>
      </c>
      <c r="G3" s="1" t="s">
        <v>3</v>
      </c>
      <c r="H3" s="1" t="s">
        <v>210</v>
      </c>
      <c r="I3" s="8" t="s">
        <v>4</v>
      </c>
      <c r="J3" s="1" t="s">
        <v>3</v>
      </c>
      <c r="K3" s="1" t="s">
        <v>210</v>
      </c>
      <c r="L3" s="8" t="s">
        <v>4</v>
      </c>
      <c r="M3" s="1" t="s">
        <v>3</v>
      </c>
      <c r="N3" s="1" t="s">
        <v>210</v>
      </c>
      <c r="O3" s="8" t="s">
        <v>4</v>
      </c>
      <c r="R3" t="s">
        <v>32</v>
      </c>
      <c r="S3" t="s">
        <v>144</v>
      </c>
      <c r="T3" t="s">
        <v>145</v>
      </c>
      <c r="U3" t="s">
        <v>146</v>
      </c>
      <c r="V3" t="s">
        <v>147</v>
      </c>
      <c r="W3" t="s">
        <v>204</v>
      </c>
      <c r="X3" t="s">
        <v>205</v>
      </c>
    </row>
    <row r="4" spans="2:24" ht="15.75" thickBot="1" x14ac:dyDescent="0.3">
      <c r="B4" s="1" t="str">
        <f>R4</f>
        <v>Hirohito</v>
      </c>
      <c r="C4" s="1"/>
      <c r="D4" s="2">
        <f>W4</f>
        <v>32</v>
      </c>
      <c r="E4" s="2">
        <f>X4</f>
        <v>56</v>
      </c>
      <c r="F4" s="9">
        <f>V4</f>
        <v>88</v>
      </c>
      <c r="G4" s="5">
        <f>MOD(D4, 10)</f>
        <v>2</v>
      </c>
      <c r="H4" s="5">
        <f t="shared" ref="H4:I4" si="0">MOD(E4, 10)</f>
        <v>6</v>
      </c>
      <c r="I4" s="5">
        <f t="shared" si="0"/>
        <v>8</v>
      </c>
      <c r="J4">
        <f>MOD(INT(D4/10),10)</f>
        <v>3</v>
      </c>
      <c r="K4">
        <f t="shared" ref="K4:L4" si="1">MOD(INT(E4/10),10)</f>
        <v>5</v>
      </c>
      <c r="L4">
        <f t="shared" si="1"/>
        <v>8</v>
      </c>
      <c r="M4">
        <f>MOD(INT(D4/100),10)</f>
        <v>0</v>
      </c>
      <c r="N4">
        <f t="shared" ref="N4:O4" si="2">MOD(INT(E4/100),10)</f>
        <v>0</v>
      </c>
      <c r="O4">
        <f t="shared" si="2"/>
        <v>0</v>
      </c>
      <c r="Q4">
        <v>1</v>
      </c>
      <c r="R4" s="30" t="s">
        <v>148</v>
      </c>
      <c r="S4">
        <v>1901</v>
      </c>
      <c r="T4">
        <v>1989</v>
      </c>
      <c r="U4">
        <v>1933</v>
      </c>
      <c r="V4">
        <f>T4-S4</f>
        <v>88</v>
      </c>
      <c r="W4">
        <f>U4-S4</f>
        <v>32</v>
      </c>
      <c r="X4">
        <f>V4-W4</f>
        <v>56</v>
      </c>
    </row>
    <row r="5" spans="2:24" ht="15.75" thickBot="1" x14ac:dyDescent="0.3">
      <c r="B5" s="1" t="str">
        <f t="shared" ref="B5:B22" si="3">R5</f>
        <v>Yoshihito</v>
      </c>
      <c r="C5" s="1"/>
      <c r="D5" s="2">
        <f t="shared" ref="D5:E22" si="4">W5</f>
        <v>22</v>
      </c>
      <c r="E5" s="2">
        <f t="shared" si="4"/>
        <v>25</v>
      </c>
      <c r="F5" s="9">
        <f t="shared" ref="F5:F22" si="5">V5</f>
        <v>47</v>
      </c>
      <c r="G5" s="5">
        <f t="shared" ref="G5:G22" si="6">MOD(D5, 10)</f>
        <v>2</v>
      </c>
      <c r="H5" s="5">
        <f t="shared" ref="H5:H22" si="7">MOD(E5, 10)</f>
        <v>5</v>
      </c>
      <c r="I5" s="5">
        <f t="shared" ref="I5:I22" si="8">MOD(F5, 10)</f>
        <v>7</v>
      </c>
      <c r="J5">
        <f t="shared" ref="J5:J22" si="9">MOD(INT(D5/10),10)</f>
        <v>2</v>
      </c>
      <c r="K5">
        <f t="shared" ref="K5:K22" si="10">MOD(INT(E5/10),10)</f>
        <v>2</v>
      </c>
      <c r="L5">
        <f t="shared" ref="L5:L22" si="11">MOD(INT(F5/10),10)</f>
        <v>4</v>
      </c>
      <c r="M5">
        <f t="shared" ref="M5:M22" si="12">MOD(INT(D5/100),10)</f>
        <v>0</v>
      </c>
      <c r="N5">
        <f t="shared" ref="N5:N22" si="13">MOD(INT(E5/100),10)</f>
        <v>0</v>
      </c>
      <c r="O5">
        <f t="shared" ref="O5:O22" si="14">MOD(INT(F5/100),10)</f>
        <v>0</v>
      </c>
      <c r="Q5">
        <v>2</v>
      </c>
      <c r="R5" s="30" t="s">
        <v>149</v>
      </c>
      <c r="S5">
        <v>1879</v>
      </c>
      <c r="T5">
        <v>1926</v>
      </c>
      <c r="U5">
        <f>S4</f>
        <v>1901</v>
      </c>
      <c r="V5">
        <f t="shared" ref="V5:V22" si="15">T5-S5</f>
        <v>47</v>
      </c>
      <c r="W5">
        <f t="shared" ref="W5:W22" si="16">U5-S5</f>
        <v>22</v>
      </c>
      <c r="X5">
        <f t="shared" ref="X5:X22" si="17">V5-W5</f>
        <v>25</v>
      </c>
    </row>
    <row r="6" spans="2:24" ht="15.75" thickBot="1" x14ac:dyDescent="0.3">
      <c r="B6" s="1" t="str">
        <f t="shared" si="3"/>
        <v>Mutsuhito</v>
      </c>
      <c r="C6" s="1"/>
      <c r="D6" s="2">
        <f t="shared" si="4"/>
        <v>27</v>
      </c>
      <c r="E6" s="2">
        <f t="shared" si="4"/>
        <v>33</v>
      </c>
      <c r="F6" s="9">
        <f t="shared" si="5"/>
        <v>60</v>
      </c>
      <c r="G6" s="5">
        <f t="shared" si="6"/>
        <v>7</v>
      </c>
      <c r="H6" s="5">
        <f t="shared" si="7"/>
        <v>3</v>
      </c>
      <c r="I6" s="5">
        <f t="shared" si="8"/>
        <v>0</v>
      </c>
      <c r="J6">
        <f t="shared" si="9"/>
        <v>2</v>
      </c>
      <c r="K6">
        <f t="shared" si="10"/>
        <v>3</v>
      </c>
      <c r="L6">
        <f t="shared" si="11"/>
        <v>6</v>
      </c>
      <c r="M6">
        <f t="shared" si="12"/>
        <v>0</v>
      </c>
      <c r="N6">
        <f t="shared" si="13"/>
        <v>0</v>
      </c>
      <c r="O6">
        <f t="shared" si="14"/>
        <v>0</v>
      </c>
      <c r="Q6">
        <v>3</v>
      </c>
      <c r="R6" s="30" t="s">
        <v>150</v>
      </c>
      <c r="S6">
        <v>1852</v>
      </c>
      <c r="T6">
        <v>1912</v>
      </c>
      <c r="U6">
        <f t="shared" ref="U6:U22" si="18">S5</f>
        <v>1879</v>
      </c>
      <c r="V6">
        <f t="shared" si="15"/>
        <v>60</v>
      </c>
      <c r="W6">
        <f t="shared" si="16"/>
        <v>27</v>
      </c>
      <c r="X6">
        <f>V6-W6</f>
        <v>33</v>
      </c>
    </row>
    <row r="7" spans="2:24" ht="15.75" thickBot="1" x14ac:dyDescent="0.3">
      <c r="B7" s="1" t="str">
        <f t="shared" si="3"/>
        <v>Osahito</v>
      </c>
      <c r="C7" s="1"/>
      <c r="D7" s="2">
        <f t="shared" si="4"/>
        <v>21</v>
      </c>
      <c r="E7" s="2">
        <f t="shared" si="4"/>
        <v>15</v>
      </c>
      <c r="F7" s="9">
        <f t="shared" si="5"/>
        <v>36</v>
      </c>
      <c r="G7" s="5">
        <f t="shared" si="6"/>
        <v>1</v>
      </c>
      <c r="H7" s="5">
        <f t="shared" si="7"/>
        <v>5</v>
      </c>
      <c r="I7" s="5">
        <f t="shared" si="8"/>
        <v>6</v>
      </c>
      <c r="J7">
        <f t="shared" si="9"/>
        <v>2</v>
      </c>
      <c r="K7">
        <f t="shared" si="10"/>
        <v>1</v>
      </c>
      <c r="L7">
        <f t="shared" si="11"/>
        <v>3</v>
      </c>
      <c r="M7">
        <f t="shared" si="12"/>
        <v>0</v>
      </c>
      <c r="N7">
        <f t="shared" si="13"/>
        <v>0</v>
      </c>
      <c r="O7">
        <f t="shared" si="14"/>
        <v>0</v>
      </c>
      <c r="Q7">
        <v>4</v>
      </c>
      <c r="R7" s="30" t="s">
        <v>151</v>
      </c>
      <c r="S7">
        <v>1831</v>
      </c>
      <c r="T7">
        <v>1867</v>
      </c>
      <c r="U7">
        <f t="shared" si="18"/>
        <v>1852</v>
      </c>
      <c r="V7">
        <f t="shared" si="15"/>
        <v>36</v>
      </c>
      <c r="W7">
        <f t="shared" si="16"/>
        <v>21</v>
      </c>
      <c r="X7">
        <f t="shared" si="17"/>
        <v>15</v>
      </c>
    </row>
    <row r="8" spans="2:24" ht="15.75" thickBot="1" x14ac:dyDescent="0.3">
      <c r="B8" s="1" t="str">
        <f t="shared" si="3"/>
        <v>Ayahito</v>
      </c>
      <c r="C8" s="1"/>
      <c r="D8" s="2">
        <f t="shared" si="4"/>
        <v>31</v>
      </c>
      <c r="E8" s="2">
        <f t="shared" si="4"/>
        <v>15</v>
      </c>
      <c r="F8" s="9">
        <f t="shared" si="5"/>
        <v>46</v>
      </c>
      <c r="G8" s="5">
        <f t="shared" si="6"/>
        <v>1</v>
      </c>
      <c r="H8" s="5">
        <f t="shared" si="7"/>
        <v>5</v>
      </c>
      <c r="I8" s="5">
        <f t="shared" si="8"/>
        <v>6</v>
      </c>
      <c r="J8">
        <f t="shared" si="9"/>
        <v>3</v>
      </c>
      <c r="K8">
        <f t="shared" si="10"/>
        <v>1</v>
      </c>
      <c r="L8">
        <f t="shared" si="11"/>
        <v>4</v>
      </c>
      <c r="M8">
        <f t="shared" si="12"/>
        <v>0</v>
      </c>
      <c r="N8">
        <f t="shared" si="13"/>
        <v>0</v>
      </c>
      <c r="O8">
        <f t="shared" si="14"/>
        <v>0</v>
      </c>
      <c r="Q8">
        <v>5</v>
      </c>
      <c r="R8" s="30" t="s">
        <v>152</v>
      </c>
      <c r="S8">
        <v>1800</v>
      </c>
      <c r="T8">
        <v>1846</v>
      </c>
      <c r="U8">
        <f t="shared" si="18"/>
        <v>1831</v>
      </c>
      <c r="V8">
        <f t="shared" si="15"/>
        <v>46</v>
      </c>
      <c r="W8">
        <f t="shared" si="16"/>
        <v>31</v>
      </c>
      <c r="X8">
        <f t="shared" si="17"/>
        <v>15</v>
      </c>
    </row>
    <row r="9" spans="2:24" ht="15.75" thickBot="1" x14ac:dyDescent="0.3">
      <c r="B9" s="1" t="str">
        <f t="shared" si="3"/>
        <v>Morohito</v>
      </c>
      <c r="C9" s="1"/>
      <c r="D9" s="2">
        <f t="shared" si="4"/>
        <v>29</v>
      </c>
      <c r="E9" s="2">
        <f t="shared" si="4"/>
        <v>40</v>
      </c>
      <c r="F9" s="9">
        <f t="shared" si="5"/>
        <v>69</v>
      </c>
      <c r="G9" s="5">
        <f t="shared" si="6"/>
        <v>9</v>
      </c>
      <c r="H9" s="5">
        <f t="shared" si="7"/>
        <v>0</v>
      </c>
      <c r="I9" s="5">
        <f t="shared" si="8"/>
        <v>9</v>
      </c>
      <c r="J9">
        <f t="shared" si="9"/>
        <v>2</v>
      </c>
      <c r="K9">
        <f t="shared" si="10"/>
        <v>4</v>
      </c>
      <c r="L9">
        <f t="shared" si="11"/>
        <v>6</v>
      </c>
      <c r="M9">
        <f t="shared" si="12"/>
        <v>0</v>
      </c>
      <c r="N9">
        <f t="shared" si="13"/>
        <v>0</v>
      </c>
      <c r="O9">
        <f t="shared" si="14"/>
        <v>0</v>
      </c>
      <c r="Q9">
        <v>6</v>
      </c>
      <c r="R9" s="30" t="s">
        <v>153</v>
      </c>
      <c r="S9">
        <v>1771</v>
      </c>
      <c r="T9">
        <v>1840</v>
      </c>
      <c r="U9">
        <f t="shared" si="18"/>
        <v>1800</v>
      </c>
      <c r="V9">
        <f t="shared" si="15"/>
        <v>69</v>
      </c>
      <c r="W9">
        <f t="shared" si="16"/>
        <v>29</v>
      </c>
      <c r="X9">
        <f t="shared" si="17"/>
        <v>40</v>
      </c>
    </row>
    <row r="10" spans="2:24" ht="27" thickBot="1" x14ac:dyDescent="0.3">
      <c r="B10" s="1" t="str">
        <f t="shared" si="3"/>
        <v>Sukehito shinnō</v>
      </c>
      <c r="C10" s="1"/>
      <c r="D10" s="2">
        <f t="shared" si="4"/>
        <v>38</v>
      </c>
      <c r="E10" s="2">
        <f t="shared" si="4"/>
        <v>23</v>
      </c>
      <c r="F10" s="9">
        <f t="shared" si="5"/>
        <v>61</v>
      </c>
      <c r="G10" s="5">
        <f t="shared" si="6"/>
        <v>8</v>
      </c>
      <c r="H10" s="5">
        <f t="shared" si="7"/>
        <v>3</v>
      </c>
      <c r="I10" s="5">
        <f t="shared" si="8"/>
        <v>1</v>
      </c>
      <c r="J10">
        <f t="shared" si="9"/>
        <v>3</v>
      </c>
      <c r="K10">
        <f t="shared" si="10"/>
        <v>2</v>
      </c>
      <c r="L10">
        <f t="shared" si="11"/>
        <v>6</v>
      </c>
      <c r="M10">
        <f t="shared" si="12"/>
        <v>0</v>
      </c>
      <c r="N10">
        <f t="shared" si="13"/>
        <v>0</v>
      </c>
      <c r="O10">
        <f t="shared" si="14"/>
        <v>0</v>
      </c>
      <c r="Q10">
        <v>7</v>
      </c>
      <c r="R10" s="30" t="s">
        <v>154</v>
      </c>
      <c r="S10">
        <v>1733</v>
      </c>
      <c r="T10">
        <v>1794</v>
      </c>
      <c r="U10">
        <f t="shared" si="18"/>
        <v>1771</v>
      </c>
      <c r="V10">
        <f t="shared" si="15"/>
        <v>61</v>
      </c>
      <c r="W10">
        <f t="shared" si="16"/>
        <v>38</v>
      </c>
      <c r="X10">
        <f t="shared" si="17"/>
        <v>23</v>
      </c>
    </row>
    <row r="11" spans="2:24" ht="15.75" thickBot="1" x14ac:dyDescent="0.3">
      <c r="B11" s="1" t="str">
        <f t="shared" si="3"/>
        <v>Naohito shinnō</v>
      </c>
      <c r="C11" s="1"/>
      <c r="D11" s="2">
        <f t="shared" si="4"/>
        <v>29</v>
      </c>
      <c r="E11" s="2">
        <f t="shared" si="4"/>
        <v>20</v>
      </c>
      <c r="F11" s="9">
        <f t="shared" si="5"/>
        <v>49</v>
      </c>
      <c r="G11" s="5">
        <f t="shared" si="6"/>
        <v>9</v>
      </c>
      <c r="H11" s="5">
        <f t="shared" si="7"/>
        <v>0</v>
      </c>
      <c r="I11" s="5">
        <f t="shared" si="8"/>
        <v>9</v>
      </c>
      <c r="J11">
        <f t="shared" si="9"/>
        <v>2</v>
      </c>
      <c r="K11">
        <f t="shared" si="10"/>
        <v>2</v>
      </c>
      <c r="L11">
        <f t="shared" si="11"/>
        <v>4</v>
      </c>
      <c r="M11">
        <f t="shared" si="12"/>
        <v>0</v>
      </c>
      <c r="N11">
        <f t="shared" si="13"/>
        <v>0</v>
      </c>
      <c r="O11">
        <f t="shared" si="14"/>
        <v>0</v>
      </c>
      <c r="Q11">
        <v>8</v>
      </c>
      <c r="R11" s="31" t="s">
        <v>155</v>
      </c>
      <c r="S11">
        <v>1704</v>
      </c>
      <c r="T11">
        <v>1753</v>
      </c>
      <c r="U11">
        <f t="shared" si="18"/>
        <v>1733</v>
      </c>
      <c r="V11">
        <f t="shared" si="15"/>
        <v>49</v>
      </c>
      <c r="W11">
        <f t="shared" si="16"/>
        <v>29</v>
      </c>
      <c r="X11">
        <f t="shared" si="17"/>
        <v>20</v>
      </c>
    </row>
    <row r="12" spans="2:24" ht="15.75" thickBot="1" x14ac:dyDescent="0.3">
      <c r="B12" s="1" t="str">
        <f t="shared" si="3"/>
        <v>Asahito</v>
      </c>
      <c r="C12" s="1"/>
      <c r="D12" s="2">
        <f t="shared" si="4"/>
        <v>29</v>
      </c>
      <c r="E12" s="2">
        <f t="shared" si="4"/>
        <v>6</v>
      </c>
      <c r="F12" s="9">
        <f t="shared" si="5"/>
        <v>35</v>
      </c>
      <c r="G12" s="5">
        <f t="shared" si="6"/>
        <v>9</v>
      </c>
      <c r="H12" s="5">
        <f t="shared" si="7"/>
        <v>6</v>
      </c>
      <c r="I12" s="5">
        <f t="shared" si="8"/>
        <v>5</v>
      </c>
      <c r="J12">
        <f t="shared" si="9"/>
        <v>2</v>
      </c>
      <c r="K12">
        <f t="shared" si="10"/>
        <v>0</v>
      </c>
      <c r="L12">
        <f t="shared" si="11"/>
        <v>3</v>
      </c>
      <c r="M12">
        <f t="shared" si="12"/>
        <v>0</v>
      </c>
      <c r="N12">
        <f t="shared" si="13"/>
        <v>0</v>
      </c>
      <c r="O12">
        <f t="shared" si="14"/>
        <v>0</v>
      </c>
      <c r="Q12">
        <v>9</v>
      </c>
      <c r="R12" s="30" t="s">
        <v>156</v>
      </c>
      <c r="S12">
        <v>1675</v>
      </c>
      <c r="T12">
        <v>1710</v>
      </c>
      <c r="U12">
        <f t="shared" si="18"/>
        <v>1704</v>
      </c>
      <c r="V12">
        <f t="shared" si="15"/>
        <v>35</v>
      </c>
      <c r="W12">
        <f t="shared" si="16"/>
        <v>29</v>
      </c>
      <c r="X12">
        <f t="shared" si="17"/>
        <v>6</v>
      </c>
    </row>
    <row r="13" spans="2:24" ht="15.75" thickBot="1" x14ac:dyDescent="0.3">
      <c r="B13" s="1" t="str">
        <f t="shared" si="3"/>
        <v>Satohito</v>
      </c>
      <c r="C13" s="3"/>
      <c r="D13" s="2">
        <f t="shared" si="4"/>
        <v>21</v>
      </c>
      <c r="E13" s="2">
        <f t="shared" si="4"/>
        <v>57</v>
      </c>
      <c r="F13" s="9">
        <f t="shared" si="5"/>
        <v>78</v>
      </c>
      <c r="G13" s="5">
        <f t="shared" si="6"/>
        <v>1</v>
      </c>
      <c r="H13" s="5">
        <f t="shared" si="7"/>
        <v>7</v>
      </c>
      <c r="I13" s="5">
        <f t="shared" si="8"/>
        <v>8</v>
      </c>
      <c r="J13">
        <f t="shared" si="9"/>
        <v>2</v>
      </c>
      <c r="K13">
        <f t="shared" si="10"/>
        <v>5</v>
      </c>
      <c r="L13">
        <f t="shared" si="11"/>
        <v>7</v>
      </c>
      <c r="M13">
        <f t="shared" si="12"/>
        <v>0</v>
      </c>
      <c r="N13">
        <f t="shared" si="13"/>
        <v>0</v>
      </c>
      <c r="O13">
        <f t="shared" si="14"/>
        <v>0</v>
      </c>
      <c r="Q13">
        <v>10</v>
      </c>
      <c r="R13" s="30" t="s">
        <v>157</v>
      </c>
      <c r="S13">
        <v>1654</v>
      </c>
      <c r="T13">
        <v>1732</v>
      </c>
      <c r="U13">
        <f t="shared" si="18"/>
        <v>1675</v>
      </c>
      <c r="V13">
        <f t="shared" si="15"/>
        <v>78</v>
      </c>
      <c r="W13">
        <f t="shared" si="16"/>
        <v>21</v>
      </c>
      <c r="X13">
        <f t="shared" si="17"/>
        <v>57</v>
      </c>
    </row>
    <row r="14" spans="2:24" ht="15.75" thickBot="1" x14ac:dyDescent="0.3">
      <c r="B14" s="1" t="str">
        <f t="shared" si="3"/>
        <v>Kokohito</v>
      </c>
      <c r="C14" s="1"/>
      <c r="D14" s="2">
        <f t="shared" si="4"/>
        <v>58</v>
      </c>
      <c r="E14" s="2">
        <f t="shared" si="4"/>
        <v>26</v>
      </c>
      <c r="F14" s="9">
        <f t="shared" si="5"/>
        <v>84</v>
      </c>
      <c r="G14" s="5">
        <f t="shared" si="6"/>
        <v>8</v>
      </c>
      <c r="H14" s="5">
        <f t="shared" si="7"/>
        <v>6</v>
      </c>
      <c r="I14" s="5">
        <f t="shared" si="8"/>
        <v>4</v>
      </c>
      <c r="J14">
        <f t="shared" si="9"/>
        <v>5</v>
      </c>
      <c r="K14">
        <f t="shared" si="10"/>
        <v>2</v>
      </c>
      <c r="L14">
        <f t="shared" si="11"/>
        <v>8</v>
      </c>
      <c r="M14">
        <f t="shared" si="12"/>
        <v>0</v>
      </c>
      <c r="N14">
        <f t="shared" si="13"/>
        <v>0</v>
      </c>
      <c r="O14">
        <f t="shared" si="14"/>
        <v>0</v>
      </c>
      <c r="Q14">
        <v>11</v>
      </c>
      <c r="R14" s="30" t="s">
        <v>158</v>
      </c>
      <c r="S14">
        <v>1596</v>
      </c>
      <c r="T14">
        <v>1680</v>
      </c>
      <c r="U14">
        <f t="shared" si="18"/>
        <v>1654</v>
      </c>
      <c r="V14">
        <f t="shared" si="15"/>
        <v>84</v>
      </c>
      <c r="W14">
        <f t="shared" si="16"/>
        <v>58</v>
      </c>
      <c r="X14">
        <f t="shared" si="17"/>
        <v>26</v>
      </c>
    </row>
    <row r="15" spans="2:24" ht="15.75" thickBot="1" x14ac:dyDescent="0.3">
      <c r="B15" s="1" t="str">
        <f t="shared" si="3"/>
        <v>Kazuhito</v>
      </c>
      <c r="C15" s="1"/>
      <c r="D15" s="2">
        <f t="shared" si="4"/>
        <v>24</v>
      </c>
      <c r="E15" s="2">
        <f t="shared" si="4"/>
        <v>21</v>
      </c>
      <c r="F15" s="9">
        <f t="shared" si="5"/>
        <v>45</v>
      </c>
      <c r="G15" s="5">
        <f t="shared" si="6"/>
        <v>4</v>
      </c>
      <c r="H15" s="5">
        <f t="shared" si="7"/>
        <v>1</v>
      </c>
      <c r="I15" s="5">
        <f t="shared" si="8"/>
        <v>5</v>
      </c>
      <c r="J15">
        <f t="shared" si="9"/>
        <v>2</v>
      </c>
      <c r="K15">
        <f t="shared" si="10"/>
        <v>2</v>
      </c>
      <c r="L15">
        <f t="shared" si="11"/>
        <v>4</v>
      </c>
      <c r="M15">
        <f t="shared" si="12"/>
        <v>0</v>
      </c>
      <c r="N15">
        <f t="shared" si="13"/>
        <v>0</v>
      </c>
      <c r="O15">
        <f t="shared" si="14"/>
        <v>0</v>
      </c>
      <c r="Q15">
        <v>12</v>
      </c>
      <c r="R15" s="30" t="s">
        <v>159</v>
      </c>
      <c r="S15">
        <v>1572</v>
      </c>
      <c r="T15">
        <v>1617</v>
      </c>
      <c r="U15">
        <f t="shared" si="18"/>
        <v>1596</v>
      </c>
      <c r="V15">
        <f t="shared" si="15"/>
        <v>45</v>
      </c>
      <c r="W15">
        <f t="shared" si="16"/>
        <v>24</v>
      </c>
      <c r="X15">
        <f t="shared" si="17"/>
        <v>21</v>
      </c>
    </row>
    <row r="16" spans="2:24" ht="27" thickBot="1" x14ac:dyDescent="0.3">
      <c r="B16" s="1" t="str">
        <f t="shared" si="3"/>
        <v>Prince Masahito</v>
      </c>
      <c r="C16" s="1"/>
      <c r="D16" s="2">
        <f t="shared" si="4"/>
        <v>20</v>
      </c>
      <c r="E16" s="2">
        <f t="shared" si="4"/>
        <v>14</v>
      </c>
      <c r="F16" s="9">
        <f t="shared" si="5"/>
        <v>34</v>
      </c>
      <c r="G16" s="5">
        <f t="shared" si="6"/>
        <v>0</v>
      </c>
      <c r="H16" s="5">
        <f t="shared" si="7"/>
        <v>4</v>
      </c>
      <c r="I16" s="5">
        <f t="shared" si="8"/>
        <v>4</v>
      </c>
      <c r="J16">
        <f t="shared" si="9"/>
        <v>2</v>
      </c>
      <c r="K16">
        <f t="shared" si="10"/>
        <v>1</v>
      </c>
      <c r="L16">
        <f t="shared" si="11"/>
        <v>3</v>
      </c>
      <c r="M16">
        <f t="shared" si="12"/>
        <v>0</v>
      </c>
      <c r="N16">
        <f t="shared" si="13"/>
        <v>0</v>
      </c>
      <c r="O16">
        <f t="shared" si="14"/>
        <v>0</v>
      </c>
      <c r="Q16">
        <v>13</v>
      </c>
      <c r="R16" t="s">
        <v>160</v>
      </c>
      <c r="S16">
        <v>1552</v>
      </c>
      <c r="T16">
        <v>1586</v>
      </c>
      <c r="U16">
        <f t="shared" si="18"/>
        <v>1572</v>
      </c>
      <c r="V16">
        <f t="shared" si="15"/>
        <v>34</v>
      </c>
      <c r="W16">
        <f t="shared" si="16"/>
        <v>20</v>
      </c>
      <c r="X16">
        <f t="shared" si="17"/>
        <v>14</v>
      </c>
    </row>
    <row r="17" spans="2:24" ht="15.75" thickBot="1" x14ac:dyDescent="0.3">
      <c r="B17" s="1" t="str">
        <f t="shared" si="3"/>
        <v>Michihito</v>
      </c>
      <c r="C17" s="1"/>
      <c r="D17" s="2">
        <f t="shared" si="4"/>
        <v>35</v>
      </c>
      <c r="E17" s="2">
        <f t="shared" si="4"/>
        <v>41</v>
      </c>
      <c r="F17" s="9">
        <f t="shared" si="5"/>
        <v>76</v>
      </c>
      <c r="G17" s="5">
        <f t="shared" si="6"/>
        <v>5</v>
      </c>
      <c r="H17" s="5">
        <f t="shared" si="7"/>
        <v>1</v>
      </c>
      <c r="I17" s="5">
        <f t="shared" si="8"/>
        <v>6</v>
      </c>
      <c r="J17">
        <f t="shared" si="9"/>
        <v>3</v>
      </c>
      <c r="K17">
        <f t="shared" si="10"/>
        <v>4</v>
      </c>
      <c r="L17">
        <f t="shared" si="11"/>
        <v>7</v>
      </c>
      <c r="M17">
        <f t="shared" si="12"/>
        <v>0</v>
      </c>
      <c r="N17">
        <f t="shared" si="13"/>
        <v>0</v>
      </c>
      <c r="O17">
        <f t="shared" si="14"/>
        <v>0</v>
      </c>
      <c r="Q17">
        <v>14</v>
      </c>
      <c r="R17" s="30" t="s">
        <v>161</v>
      </c>
      <c r="S17">
        <v>1517</v>
      </c>
      <c r="T17">
        <v>1593</v>
      </c>
      <c r="U17">
        <f t="shared" si="18"/>
        <v>1552</v>
      </c>
      <c r="V17">
        <f t="shared" si="15"/>
        <v>76</v>
      </c>
      <c r="W17">
        <f t="shared" si="16"/>
        <v>35</v>
      </c>
      <c r="X17">
        <f t="shared" si="17"/>
        <v>41</v>
      </c>
    </row>
    <row r="18" spans="2:24" ht="15.75" thickBot="1" x14ac:dyDescent="0.3">
      <c r="B18" s="1" t="str">
        <f t="shared" si="3"/>
        <v>Tomohito</v>
      </c>
      <c r="C18" s="1"/>
      <c r="D18" s="2">
        <f t="shared" si="4"/>
        <v>20</v>
      </c>
      <c r="E18" s="2">
        <f t="shared" si="4"/>
        <v>40</v>
      </c>
      <c r="F18" s="9">
        <f t="shared" si="5"/>
        <v>60</v>
      </c>
      <c r="G18" s="5">
        <f t="shared" si="6"/>
        <v>0</v>
      </c>
      <c r="H18" s="5">
        <f t="shared" si="7"/>
        <v>0</v>
      </c>
      <c r="I18" s="5">
        <f t="shared" si="8"/>
        <v>0</v>
      </c>
      <c r="J18">
        <f t="shared" si="9"/>
        <v>2</v>
      </c>
      <c r="K18">
        <f t="shared" si="10"/>
        <v>4</v>
      </c>
      <c r="L18">
        <f t="shared" si="11"/>
        <v>6</v>
      </c>
      <c r="M18">
        <f t="shared" si="12"/>
        <v>0</v>
      </c>
      <c r="N18">
        <f t="shared" si="13"/>
        <v>0</v>
      </c>
      <c r="O18">
        <f t="shared" si="14"/>
        <v>0</v>
      </c>
      <c r="Q18">
        <v>15</v>
      </c>
      <c r="R18" s="30" t="s">
        <v>162</v>
      </c>
      <c r="S18">
        <v>1497</v>
      </c>
      <c r="T18">
        <v>1557</v>
      </c>
      <c r="U18">
        <f t="shared" si="18"/>
        <v>1517</v>
      </c>
      <c r="V18">
        <f t="shared" si="15"/>
        <v>60</v>
      </c>
      <c r="W18">
        <f t="shared" si="16"/>
        <v>20</v>
      </c>
      <c r="X18">
        <f t="shared" si="17"/>
        <v>40</v>
      </c>
    </row>
    <row r="19" spans="2:24" ht="15.75" thickBot="1" x14ac:dyDescent="0.3">
      <c r="B19" s="1" t="str">
        <f t="shared" si="3"/>
        <v>Katsuhito</v>
      </c>
      <c r="C19" s="1"/>
      <c r="D19" s="2">
        <f t="shared" si="4"/>
        <v>33</v>
      </c>
      <c r="E19" s="2">
        <f t="shared" si="4"/>
        <v>29</v>
      </c>
      <c r="F19" s="9">
        <f t="shared" si="5"/>
        <v>62</v>
      </c>
      <c r="G19" s="5">
        <f t="shared" si="6"/>
        <v>3</v>
      </c>
      <c r="H19" s="5">
        <f t="shared" si="7"/>
        <v>9</v>
      </c>
      <c r="I19" s="5">
        <f t="shared" si="8"/>
        <v>2</v>
      </c>
      <c r="J19">
        <f t="shared" si="9"/>
        <v>3</v>
      </c>
      <c r="K19">
        <f t="shared" si="10"/>
        <v>2</v>
      </c>
      <c r="L19">
        <f t="shared" si="11"/>
        <v>6</v>
      </c>
      <c r="M19">
        <f t="shared" si="12"/>
        <v>0</v>
      </c>
      <c r="N19">
        <f t="shared" si="13"/>
        <v>0</v>
      </c>
      <c r="O19">
        <f t="shared" si="14"/>
        <v>0</v>
      </c>
      <c r="Q19">
        <v>16</v>
      </c>
      <c r="R19" s="30" t="s">
        <v>163</v>
      </c>
      <c r="S19">
        <v>1464</v>
      </c>
      <c r="T19">
        <v>1526</v>
      </c>
      <c r="U19">
        <f t="shared" si="18"/>
        <v>1497</v>
      </c>
      <c r="V19">
        <f t="shared" si="15"/>
        <v>62</v>
      </c>
      <c r="W19">
        <f t="shared" si="16"/>
        <v>33</v>
      </c>
      <c r="X19">
        <f t="shared" si="17"/>
        <v>29</v>
      </c>
    </row>
    <row r="20" spans="2:24" ht="15.75" thickBot="1" x14ac:dyDescent="0.3">
      <c r="B20" s="1" t="str">
        <f t="shared" si="3"/>
        <v>Fusahito</v>
      </c>
      <c r="C20" s="1"/>
      <c r="D20" s="2">
        <f t="shared" si="4"/>
        <v>22</v>
      </c>
      <c r="E20" s="2">
        <f t="shared" si="4"/>
        <v>36</v>
      </c>
      <c r="F20" s="9">
        <f t="shared" si="5"/>
        <v>58</v>
      </c>
      <c r="G20" s="5">
        <f t="shared" si="6"/>
        <v>2</v>
      </c>
      <c r="H20" s="5">
        <f t="shared" si="7"/>
        <v>6</v>
      </c>
      <c r="I20" s="5">
        <f t="shared" si="8"/>
        <v>8</v>
      </c>
      <c r="J20">
        <f t="shared" si="9"/>
        <v>2</v>
      </c>
      <c r="K20">
        <f t="shared" si="10"/>
        <v>3</v>
      </c>
      <c r="L20">
        <f t="shared" si="11"/>
        <v>5</v>
      </c>
      <c r="M20">
        <f t="shared" si="12"/>
        <v>0</v>
      </c>
      <c r="N20">
        <f t="shared" si="13"/>
        <v>0</v>
      </c>
      <c r="O20">
        <f t="shared" si="14"/>
        <v>0</v>
      </c>
      <c r="Q20">
        <v>17</v>
      </c>
      <c r="R20" s="30" t="s">
        <v>164</v>
      </c>
      <c r="S20">
        <v>1442</v>
      </c>
      <c r="T20">
        <v>1500</v>
      </c>
      <c r="U20">
        <f t="shared" si="18"/>
        <v>1464</v>
      </c>
      <c r="V20">
        <f t="shared" si="15"/>
        <v>58</v>
      </c>
      <c r="W20">
        <f t="shared" si="16"/>
        <v>22</v>
      </c>
      <c r="X20">
        <f t="shared" si="17"/>
        <v>36</v>
      </c>
    </row>
    <row r="21" spans="2:24" ht="15.75" thickBot="1" x14ac:dyDescent="0.3">
      <c r="B21" s="1" t="str">
        <f t="shared" si="3"/>
        <v>Hikohito</v>
      </c>
      <c r="C21" s="1"/>
      <c r="D21" s="2">
        <f t="shared" si="4"/>
        <v>23</v>
      </c>
      <c r="E21" s="2">
        <f t="shared" si="4"/>
        <v>29</v>
      </c>
      <c r="F21" s="9">
        <f t="shared" si="5"/>
        <v>52</v>
      </c>
      <c r="G21" s="5">
        <f t="shared" si="6"/>
        <v>3</v>
      </c>
      <c r="H21" s="5">
        <f t="shared" si="7"/>
        <v>9</v>
      </c>
      <c r="I21" s="5">
        <f t="shared" si="8"/>
        <v>2</v>
      </c>
      <c r="J21">
        <f t="shared" si="9"/>
        <v>2</v>
      </c>
      <c r="K21">
        <f t="shared" si="10"/>
        <v>2</v>
      </c>
      <c r="L21">
        <f t="shared" si="11"/>
        <v>5</v>
      </c>
      <c r="M21">
        <f t="shared" si="12"/>
        <v>0</v>
      </c>
      <c r="N21">
        <f t="shared" si="13"/>
        <v>0</v>
      </c>
      <c r="O21">
        <f t="shared" si="14"/>
        <v>0</v>
      </c>
      <c r="Q21">
        <v>18</v>
      </c>
      <c r="R21" s="30" t="s">
        <v>165</v>
      </c>
      <c r="S21">
        <v>1419</v>
      </c>
      <c r="T21">
        <v>1471</v>
      </c>
      <c r="U21">
        <f t="shared" si="18"/>
        <v>1442</v>
      </c>
      <c r="V21">
        <f t="shared" si="15"/>
        <v>52</v>
      </c>
      <c r="W21">
        <f t="shared" si="16"/>
        <v>23</v>
      </c>
      <c r="X21">
        <f t="shared" si="17"/>
        <v>29</v>
      </c>
    </row>
    <row r="22" spans="2:24" ht="27" thickBot="1" x14ac:dyDescent="0.3">
      <c r="B22" s="1" t="str">
        <f t="shared" si="3"/>
        <v>Sadafusa shinnō</v>
      </c>
      <c r="C22" s="1"/>
      <c r="D22" s="2">
        <f t="shared" si="4"/>
        <v>47</v>
      </c>
      <c r="E22" s="2">
        <f t="shared" si="4"/>
        <v>37</v>
      </c>
      <c r="F22" s="9">
        <f t="shared" si="5"/>
        <v>84</v>
      </c>
      <c r="G22" s="5">
        <f t="shared" si="6"/>
        <v>7</v>
      </c>
      <c r="H22" s="5">
        <f t="shared" si="7"/>
        <v>7</v>
      </c>
      <c r="I22" s="5">
        <f t="shared" si="8"/>
        <v>4</v>
      </c>
      <c r="J22">
        <f t="shared" si="9"/>
        <v>4</v>
      </c>
      <c r="K22">
        <f t="shared" si="10"/>
        <v>3</v>
      </c>
      <c r="L22">
        <f t="shared" si="11"/>
        <v>8</v>
      </c>
      <c r="M22">
        <f t="shared" si="12"/>
        <v>0</v>
      </c>
      <c r="N22">
        <f t="shared" si="13"/>
        <v>0</v>
      </c>
      <c r="O22">
        <f t="shared" si="14"/>
        <v>0</v>
      </c>
      <c r="Q22">
        <v>19</v>
      </c>
      <c r="R22" s="31" t="s">
        <v>166</v>
      </c>
      <c r="S22">
        <v>1372</v>
      </c>
      <c r="T22">
        <v>1456</v>
      </c>
      <c r="U22">
        <f t="shared" si="18"/>
        <v>1419</v>
      </c>
      <c r="V22">
        <f t="shared" si="15"/>
        <v>84</v>
      </c>
      <c r="W22">
        <f t="shared" si="16"/>
        <v>47</v>
      </c>
      <c r="X22">
        <f t="shared" si="17"/>
        <v>37</v>
      </c>
    </row>
    <row r="23" spans="2:24" x14ac:dyDescent="0.25">
      <c r="B23" s="5"/>
      <c r="C23" s="5" t="s">
        <v>31</v>
      </c>
      <c r="D23" s="6">
        <f>SUM(D14:D22)</f>
        <v>282</v>
      </c>
      <c r="E23" s="5">
        <f>SUM(E14:E22)</f>
        <v>273</v>
      </c>
      <c r="F23" s="6">
        <f>SUM(F14:F22)</f>
        <v>555</v>
      </c>
      <c r="G23" s="5"/>
      <c r="H23" s="5"/>
      <c r="I23" s="5"/>
      <c r="J23" s="7"/>
      <c r="K23" s="5"/>
    </row>
    <row r="24" spans="2:24" x14ac:dyDescent="0.25">
      <c r="B24" s="5"/>
      <c r="C24" s="5"/>
      <c r="D24" s="6"/>
      <c r="E24" s="5"/>
      <c r="F24" s="6"/>
      <c r="G24" s="5"/>
      <c r="H24" s="5"/>
      <c r="I24" s="5"/>
      <c r="J24" s="7"/>
      <c r="K24" s="5"/>
    </row>
    <row r="25" spans="2:24" x14ac:dyDescent="0.25">
      <c r="B25" s="5"/>
      <c r="C25" s="5"/>
      <c r="D25" s="6"/>
      <c r="E25" s="5"/>
      <c r="F25" s="6"/>
      <c r="G25" s="5"/>
      <c r="H25" s="5"/>
      <c r="I25" s="5"/>
      <c r="J25" s="7"/>
      <c r="K25" s="5"/>
    </row>
    <row r="26" spans="2:24" x14ac:dyDescent="0.25">
      <c r="B26" s="5"/>
      <c r="C26" s="5"/>
      <c r="D26" s="6"/>
      <c r="E26" s="5"/>
      <c r="F26" s="6"/>
      <c r="G26" s="5"/>
      <c r="H26" s="5" t="s">
        <v>61</v>
      </c>
      <c r="I26" s="5"/>
      <c r="J26" s="7"/>
      <c r="K26" s="5" t="s">
        <v>61</v>
      </c>
      <c r="L26" s="5"/>
      <c r="N26" s="5" t="s">
        <v>61</v>
      </c>
      <c r="O26" s="5"/>
    </row>
    <row r="27" spans="2:24" x14ac:dyDescent="0.25">
      <c r="B27" s="5"/>
      <c r="C27" s="5"/>
      <c r="D27" s="6"/>
      <c r="E27" s="6"/>
      <c r="F27">
        <v>0</v>
      </c>
      <c r="G27">
        <f>COUNTIF(G$4:G$22,$F27)</f>
        <v>2</v>
      </c>
      <c r="H27">
        <f>COUNTIF(H$4:H$22,$F27)</f>
        <v>3</v>
      </c>
      <c r="I27">
        <f>COUNTIF(I$4:I$22,$F27)</f>
        <v>2</v>
      </c>
      <c r="J27">
        <f>COUNTIF(J$4:J$22,$F27)</f>
        <v>0</v>
      </c>
      <c r="K27">
        <f>COUNTIF(K$4:K$22,$F27)</f>
        <v>1</v>
      </c>
      <c r="L27">
        <f t="shared" ref="L27:O36" si="19">COUNTIF(L$4:L$22,$F27)</f>
        <v>0</v>
      </c>
      <c r="M27">
        <f>COUNTIF(M$4:M$22,$F27)</f>
        <v>19</v>
      </c>
      <c r="N27">
        <f t="shared" si="19"/>
        <v>19</v>
      </c>
      <c r="O27">
        <f t="shared" si="19"/>
        <v>19</v>
      </c>
    </row>
    <row r="28" spans="2:24" x14ac:dyDescent="0.25">
      <c r="B28" s="5"/>
      <c r="C28" s="5"/>
      <c r="D28" s="6"/>
      <c r="E28" s="6"/>
      <c r="F28">
        <v>1</v>
      </c>
      <c r="G28">
        <f t="shared" ref="G28:K36" si="20">COUNTIF(G$4:G$22,$F28)</f>
        <v>3</v>
      </c>
      <c r="H28">
        <f t="shared" si="20"/>
        <v>2</v>
      </c>
      <c r="I28">
        <f t="shared" si="20"/>
        <v>1</v>
      </c>
      <c r="J28">
        <f t="shared" si="20"/>
        <v>0</v>
      </c>
      <c r="K28">
        <f t="shared" si="20"/>
        <v>3</v>
      </c>
      <c r="L28">
        <f t="shared" si="19"/>
        <v>0</v>
      </c>
      <c r="M28">
        <f t="shared" si="19"/>
        <v>0</v>
      </c>
      <c r="N28">
        <f t="shared" si="19"/>
        <v>0</v>
      </c>
      <c r="O28">
        <f t="shared" si="19"/>
        <v>0</v>
      </c>
    </row>
    <row r="29" spans="2:24" x14ac:dyDescent="0.25">
      <c r="B29" s="5"/>
      <c r="C29" s="5"/>
      <c r="D29" s="6"/>
      <c r="E29" s="6"/>
      <c r="F29">
        <v>2</v>
      </c>
      <c r="G29">
        <f t="shared" si="20"/>
        <v>3</v>
      </c>
      <c r="H29">
        <f t="shared" si="20"/>
        <v>0</v>
      </c>
      <c r="I29">
        <f t="shared" si="20"/>
        <v>2</v>
      </c>
      <c r="J29">
        <f t="shared" si="20"/>
        <v>12</v>
      </c>
      <c r="K29">
        <f t="shared" si="20"/>
        <v>7</v>
      </c>
      <c r="L29">
        <f t="shared" si="19"/>
        <v>0</v>
      </c>
      <c r="M29">
        <f t="shared" si="19"/>
        <v>0</v>
      </c>
      <c r="N29">
        <f t="shared" si="19"/>
        <v>0</v>
      </c>
      <c r="O29">
        <f t="shared" si="19"/>
        <v>0</v>
      </c>
    </row>
    <row r="30" spans="2:24" x14ac:dyDescent="0.25">
      <c r="B30" s="5"/>
      <c r="C30" s="5"/>
      <c r="D30" s="6"/>
      <c r="E30" s="6"/>
      <c r="F30">
        <v>3</v>
      </c>
      <c r="G30">
        <f t="shared" si="20"/>
        <v>2</v>
      </c>
      <c r="H30">
        <f t="shared" si="20"/>
        <v>2</v>
      </c>
      <c r="I30">
        <f t="shared" si="20"/>
        <v>0</v>
      </c>
      <c r="J30">
        <f t="shared" si="20"/>
        <v>5</v>
      </c>
      <c r="K30">
        <f t="shared" si="20"/>
        <v>3</v>
      </c>
      <c r="L30">
        <f t="shared" si="19"/>
        <v>3</v>
      </c>
      <c r="M30">
        <f t="shared" si="19"/>
        <v>0</v>
      </c>
      <c r="N30">
        <f t="shared" si="19"/>
        <v>0</v>
      </c>
      <c r="O30">
        <f t="shared" si="19"/>
        <v>0</v>
      </c>
    </row>
    <row r="31" spans="2:24" x14ac:dyDescent="0.25">
      <c r="B31" s="5"/>
      <c r="C31" s="5"/>
      <c r="D31" s="6"/>
      <c r="E31" s="6"/>
      <c r="F31">
        <v>4</v>
      </c>
      <c r="G31">
        <f t="shared" si="20"/>
        <v>1</v>
      </c>
      <c r="H31">
        <f t="shared" si="20"/>
        <v>1</v>
      </c>
      <c r="I31">
        <f t="shared" si="20"/>
        <v>3</v>
      </c>
      <c r="J31">
        <f t="shared" si="20"/>
        <v>1</v>
      </c>
      <c r="K31">
        <f t="shared" si="20"/>
        <v>3</v>
      </c>
      <c r="L31">
        <f t="shared" si="19"/>
        <v>4</v>
      </c>
      <c r="M31">
        <f t="shared" si="19"/>
        <v>0</v>
      </c>
      <c r="N31">
        <f t="shared" si="19"/>
        <v>0</v>
      </c>
      <c r="O31">
        <f t="shared" si="19"/>
        <v>0</v>
      </c>
    </row>
    <row r="32" spans="2:24" x14ac:dyDescent="0.25">
      <c r="B32" s="5"/>
      <c r="C32" s="5"/>
      <c r="D32" s="6"/>
      <c r="E32" s="6"/>
      <c r="F32">
        <v>5</v>
      </c>
      <c r="G32">
        <f t="shared" si="20"/>
        <v>1</v>
      </c>
      <c r="H32">
        <f t="shared" si="20"/>
        <v>3</v>
      </c>
      <c r="I32">
        <f t="shared" si="20"/>
        <v>2</v>
      </c>
      <c r="J32">
        <f t="shared" si="20"/>
        <v>1</v>
      </c>
      <c r="K32">
        <f t="shared" si="20"/>
        <v>2</v>
      </c>
      <c r="L32">
        <f t="shared" si="19"/>
        <v>2</v>
      </c>
      <c r="M32">
        <f t="shared" si="19"/>
        <v>0</v>
      </c>
      <c r="N32">
        <f t="shared" si="19"/>
        <v>0</v>
      </c>
      <c r="O32">
        <f t="shared" si="19"/>
        <v>0</v>
      </c>
    </row>
    <row r="33" spans="2:15" x14ac:dyDescent="0.25">
      <c r="B33" s="5"/>
      <c r="C33" s="5"/>
      <c r="D33" s="6"/>
      <c r="E33" s="6"/>
      <c r="F33">
        <v>6</v>
      </c>
      <c r="G33">
        <f t="shared" si="20"/>
        <v>0</v>
      </c>
      <c r="H33">
        <f t="shared" si="20"/>
        <v>4</v>
      </c>
      <c r="I33">
        <f t="shared" si="20"/>
        <v>3</v>
      </c>
      <c r="J33">
        <f t="shared" si="20"/>
        <v>0</v>
      </c>
      <c r="K33">
        <f t="shared" si="20"/>
        <v>0</v>
      </c>
      <c r="L33">
        <f t="shared" si="19"/>
        <v>5</v>
      </c>
      <c r="M33">
        <f t="shared" si="19"/>
        <v>0</v>
      </c>
      <c r="N33">
        <f t="shared" si="19"/>
        <v>0</v>
      </c>
      <c r="O33">
        <f t="shared" si="19"/>
        <v>0</v>
      </c>
    </row>
    <row r="34" spans="2:15" x14ac:dyDescent="0.25">
      <c r="B34" s="5"/>
      <c r="C34" s="5"/>
      <c r="D34" s="6"/>
      <c r="E34" s="6"/>
      <c r="F34">
        <v>7</v>
      </c>
      <c r="G34">
        <f t="shared" si="20"/>
        <v>2</v>
      </c>
      <c r="H34">
        <f t="shared" si="20"/>
        <v>2</v>
      </c>
      <c r="I34">
        <f t="shared" si="20"/>
        <v>1</v>
      </c>
      <c r="J34">
        <f t="shared" si="20"/>
        <v>0</v>
      </c>
      <c r="K34">
        <f t="shared" si="20"/>
        <v>0</v>
      </c>
      <c r="L34">
        <f t="shared" si="19"/>
        <v>2</v>
      </c>
      <c r="M34">
        <f t="shared" si="19"/>
        <v>0</v>
      </c>
      <c r="N34">
        <f t="shared" si="19"/>
        <v>0</v>
      </c>
      <c r="O34">
        <f t="shared" si="19"/>
        <v>0</v>
      </c>
    </row>
    <row r="35" spans="2:15" x14ac:dyDescent="0.25">
      <c r="B35" s="5"/>
      <c r="C35" s="5"/>
      <c r="D35" s="6"/>
      <c r="E35" s="5"/>
      <c r="F35">
        <v>8</v>
      </c>
      <c r="G35">
        <f t="shared" si="20"/>
        <v>2</v>
      </c>
      <c r="H35">
        <f t="shared" si="20"/>
        <v>0</v>
      </c>
      <c r="I35">
        <f t="shared" si="20"/>
        <v>3</v>
      </c>
      <c r="J35">
        <f t="shared" si="20"/>
        <v>0</v>
      </c>
      <c r="K35">
        <f t="shared" si="20"/>
        <v>0</v>
      </c>
      <c r="L35">
        <f t="shared" si="19"/>
        <v>3</v>
      </c>
      <c r="M35">
        <f t="shared" si="19"/>
        <v>0</v>
      </c>
      <c r="N35">
        <f t="shared" si="19"/>
        <v>0</v>
      </c>
      <c r="O35">
        <f t="shared" si="19"/>
        <v>0</v>
      </c>
    </row>
    <row r="36" spans="2:15" x14ac:dyDescent="0.25">
      <c r="F36">
        <v>9</v>
      </c>
      <c r="G36">
        <f t="shared" si="20"/>
        <v>3</v>
      </c>
      <c r="H36">
        <f t="shared" si="20"/>
        <v>2</v>
      </c>
      <c r="I36">
        <f t="shared" si="20"/>
        <v>2</v>
      </c>
      <c r="J36">
        <f t="shared" si="20"/>
        <v>0</v>
      </c>
      <c r="K36">
        <f t="shared" si="20"/>
        <v>0</v>
      </c>
      <c r="L36">
        <f t="shared" si="19"/>
        <v>0</v>
      </c>
      <c r="M36">
        <f t="shared" si="19"/>
        <v>0</v>
      </c>
      <c r="N36">
        <f t="shared" si="19"/>
        <v>0</v>
      </c>
      <c r="O36">
        <f t="shared" si="19"/>
        <v>0</v>
      </c>
    </row>
    <row r="56" spans="8:13" x14ac:dyDescent="0.25">
      <c r="H56" s="36"/>
      <c r="I56" s="36"/>
      <c r="J56" s="36"/>
      <c r="K56" s="36"/>
      <c r="L56" s="36"/>
      <c r="M56" s="36"/>
    </row>
  </sheetData>
  <mergeCells count="6">
    <mergeCell ref="D2:F2"/>
    <mergeCell ref="G2:I2"/>
    <mergeCell ref="J2:L2"/>
    <mergeCell ref="M2:O2"/>
    <mergeCell ref="H56:J56"/>
    <mergeCell ref="K56:M56"/>
  </mergeCells>
  <hyperlinks>
    <hyperlink ref="R2" r:id="rId1" xr:uid="{FE667D7E-12E8-4E7A-B7BA-A4283950E93E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DC18-073B-46B2-A5E4-1EC2494837EE}">
  <dimension ref="B1:O58"/>
  <sheetViews>
    <sheetView topLeftCell="A10" zoomScale="70" zoomScaleNormal="70" workbookViewId="0">
      <selection activeCell="G40" sqref="G40"/>
    </sheetView>
  </sheetViews>
  <sheetFormatPr defaultRowHeight="15" x14ac:dyDescent="0.25"/>
  <cols>
    <col min="2" max="2" width="13.7109375" customWidth="1"/>
    <col min="3" max="3" width="12.7109375" customWidth="1"/>
    <col min="7" max="8" width="12.7109375" bestFit="1" customWidth="1"/>
    <col min="10" max="10" width="17.140625" customWidth="1"/>
    <col min="13" max="13" width="11" customWidth="1"/>
  </cols>
  <sheetData>
    <row r="1" spans="2:15" ht="15.75" thickBot="1" x14ac:dyDescent="0.3"/>
    <row r="2" spans="2:15" ht="15.75" thickBot="1" x14ac:dyDescent="0.3">
      <c r="B2" s="1" t="s">
        <v>0</v>
      </c>
      <c r="C2" s="1"/>
      <c r="D2" s="33" t="s">
        <v>16</v>
      </c>
      <c r="E2" s="34"/>
      <c r="F2" s="34"/>
      <c r="G2" s="35" t="s">
        <v>17</v>
      </c>
      <c r="H2" s="35"/>
      <c r="I2" s="35"/>
      <c r="J2" s="35" t="s">
        <v>18</v>
      </c>
      <c r="K2" s="35"/>
      <c r="L2" s="35"/>
      <c r="M2" s="35" t="s">
        <v>19</v>
      </c>
      <c r="N2" s="35"/>
      <c r="O2" s="35"/>
    </row>
    <row r="3" spans="2:15" ht="39.75" thickBot="1" x14ac:dyDescent="0.3">
      <c r="B3" s="1" t="s">
        <v>1</v>
      </c>
      <c r="C3" s="1" t="s">
        <v>2</v>
      </c>
      <c r="D3" s="1" t="s">
        <v>3</v>
      </c>
      <c r="E3" s="1" t="s">
        <v>210</v>
      </c>
      <c r="F3" s="8" t="s">
        <v>4</v>
      </c>
      <c r="G3" s="1" t="s">
        <v>3</v>
      </c>
      <c r="H3" s="1" t="s">
        <v>210</v>
      </c>
      <c r="I3" s="8" t="s">
        <v>4</v>
      </c>
      <c r="J3" s="1" t="s">
        <v>3</v>
      </c>
      <c r="K3" s="1" t="s">
        <v>210</v>
      </c>
      <c r="L3" s="8" t="s">
        <v>4</v>
      </c>
      <c r="M3" s="1" t="s">
        <v>3</v>
      </c>
      <c r="N3" s="1" t="s">
        <v>210</v>
      </c>
      <c r="O3" s="8" t="s">
        <v>4</v>
      </c>
    </row>
    <row r="4" spans="2:15" ht="15.75" thickBot="1" x14ac:dyDescent="0.3">
      <c r="B4" s="1" t="s">
        <v>5</v>
      </c>
      <c r="C4" s="1" t="s">
        <v>6</v>
      </c>
      <c r="D4" s="2">
        <v>130</v>
      </c>
      <c r="E4" s="2">
        <v>800</v>
      </c>
      <c r="F4" s="9">
        <v>930</v>
      </c>
      <c r="G4" s="5">
        <f>MOD(D4, 10)</f>
        <v>0</v>
      </c>
      <c r="H4" s="5">
        <f t="shared" ref="H4:I4" si="0">MOD(E4, 10)</f>
        <v>0</v>
      </c>
      <c r="I4" s="5">
        <f t="shared" si="0"/>
        <v>0</v>
      </c>
      <c r="J4">
        <f>MOD(INT(D4/10),10)</f>
        <v>3</v>
      </c>
      <c r="K4">
        <f t="shared" ref="K4:L4" si="1">MOD(INT(E4/10),10)</f>
        <v>0</v>
      </c>
      <c r="L4">
        <f t="shared" si="1"/>
        <v>3</v>
      </c>
      <c r="M4">
        <f>MOD(INT(D4/100),10)</f>
        <v>1</v>
      </c>
      <c r="N4">
        <f t="shared" ref="N4:O4" si="2">MOD(INT(E4/100),10)</f>
        <v>8</v>
      </c>
      <c r="O4">
        <f t="shared" si="2"/>
        <v>9</v>
      </c>
    </row>
    <row r="5" spans="2:15" ht="15.75" thickBot="1" x14ac:dyDescent="0.3">
      <c r="B5" s="1" t="s">
        <v>6</v>
      </c>
      <c r="C5" s="1" t="s">
        <v>7</v>
      </c>
      <c r="D5" s="2">
        <v>105</v>
      </c>
      <c r="E5" s="2">
        <v>807</v>
      </c>
      <c r="F5" s="9">
        <v>912</v>
      </c>
      <c r="G5" s="5">
        <f t="shared" ref="G5:G13" si="3">MOD(D5, 10)</f>
        <v>5</v>
      </c>
      <c r="H5" s="5">
        <f t="shared" ref="H5:H13" si="4">MOD(E5, 10)</f>
        <v>7</v>
      </c>
      <c r="I5" s="5">
        <f t="shared" ref="I5:I13" si="5">MOD(F5, 10)</f>
        <v>2</v>
      </c>
      <c r="J5">
        <f t="shared" ref="J5:J13" si="6">MOD(INT(D5/10),10)</f>
        <v>0</v>
      </c>
      <c r="K5">
        <f t="shared" ref="K5:K13" si="7">MOD(INT(E5/10),10)</f>
        <v>0</v>
      </c>
      <c r="L5">
        <f t="shared" ref="L5:L13" si="8">MOD(INT(F5/10),10)</f>
        <v>1</v>
      </c>
      <c r="M5">
        <f t="shared" ref="M5:M13" si="9">MOD(INT(D5/100),10)</f>
        <v>1</v>
      </c>
      <c r="N5">
        <f t="shared" ref="N5:N13" si="10">MOD(INT(E5/100),10)</f>
        <v>8</v>
      </c>
      <c r="O5">
        <f t="shared" ref="O5:O13" si="11">MOD(INT(F5/100),10)</f>
        <v>9</v>
      </c>
    </row>
    <row r="6" spans="2:15" ht="15.75" thickBot="1" x14ac:dyDescent="0.3">
      <c r="B6" s="1" t="s">
        <v>7</v>
      </c>
      <c r="C6" s="1" t="s">
        <v>8</v>
      </c>
      <c r="D6" s="2">
        <v>90</v>
      </c>
      <c r="E6" s="2">
        <v>815</v>
      </c>
      <c r="F6" s="9">
        <v>905</v>
      </c>
      <c r="G6" s="5">
        <f t="shared" si="3"/>
        <v>0</v>
      </c>
      <c r="H6" s="5">
        <f t="shared" si="4"/>
        <v>5</v>
      </c>
      <c r="I6" s="5">
        <f t="shared" si="5"/>
        <v>5</v>
      </c>
      <c r="J6">
        <f t="shared" si="6"/>
        <v>9</v>
      </c>
      <c r="K6">
        <f t="shared" si="7"/>
        <v>1</v>
      </c>
      <c r="L6">
        <f t="shared" si="8"/>
        <v>0</v>
      </c>
      <c r="M6">
        <f t="shared" si="9"/>
        <v>0</v>
      </c>
      <c r="N6">
        <f t="shared" si="10"/>
        <v>8</v>
      </c>
      <c r="O6">
        <f t="shared" si="11"/>
        <v>9</v>
      </c>
    </row>
    <row r="7" spans="2:15" ht="15.75" thickBot="1" x14ac:dyDescent="0.3">
      <c r="B7" s="1" t="s">
        <v>8</v>
      </c>
      <c r="C7" s="1" t="s">
        <v>9</v>
      </c>
      <c r="D7" s="2">
        <v>70</v>
      </c>
      <c r="E7" s="2">
        <v>840</v>
      </c>
      <c r="F7" s="9">
        <v>910</v>
      </c>
      <c r="G7" s="5">
        <f t="shared" si="3"/>
        <v>0</v>
      </c>
      <c r="H7" s="5">
        <f t="shared" si="4"/>
        <v>0</v>
      </c>
      <c r="I7" s="5">
        <f t="shared" si="5"/>
        <v>0</v>
      </c>
      <c r="J7">
        <f t="shared" si="6"/>
        <v>7</v>
      </c>
      <c r="K7">
        <f t="shared" si="7"/>
        <v>4</v>
      </c>
      <c r="L7">
        <f t="shared" si="8"/>
        <v>1</v>
      </c>
      <c r="M7">
        <f t="shared" si="9"/>
        <v>0</v>
      </c>
      <c r="N7">
        <f t="shared" si="10"/>
        <v>8</v>
      </c>
      <c r="O7">
        <f t="shared" si="11"/>
        <v>9</v>
      </c>
    </row>
    <row r="8" spans="2:15" ht="15.75" thickBot="1" x14ac:dyDescent="0.3">
      <c r="B8" s="1" t="s">
        <v>9</v>
      </c>
      <c r="C8" s="1" t="s">
        <v>10</v>
      </c>
      <c r="D8" s="2">
        <v>65</v>
      </c>
      <c r="E8" s="2">
        <v>830</v>
      </c>
      <c r="F8" s="9">
        <v>895</v>
      </c>
      <c r="G8" s="5">
        <f t="shared" si="3"/>
        <v>5</v>
      </c>
      <c r="H8" s="5">
        <f t="shared" si="4"/>
        <v>0</v>
      </c>
      <c r="I8" s="5">
        <f t="shared" si="5"/>
        <v>5</v>
      </c>
      <c r="J8">
        <f t="shared" si="6"/>
        <v>6</v>
      </c>
      <c r="K8">
        <f t="shared" si="7"/>
        <v>3</v>
      </c>
      <c r="L8">
        <f t="shared" si="8"/>
        <v>9</v>
      </c>
      <c r="M8">
        <f t="shared" si="9"/>
        <v>0</v>
      </c>
      <c r="N8">
        <f t="shared" si="10"/>
        <v>8</v>
      </c>
      <c r="O8">
        <f t="shared" si="11"/>
        <v>8</v>
      </c>
    </row>
    <row r="9" spans="2:15" ht="15.75" thickBot="1" x14ac:dyDescent="0.3">
      <c r="B9" s="1" t="s">
        <v>10</v>
      </c>
      <c r="C9" s="1" t="s">
        <v>11</v>
      </c>
      <c r="D9" s="2">
        <v>162</v>
      </c>
      <c r="E9" s="2">
        <v>800</v>
      </c>
      <c r="F9" s="9">
        <v>962</v>
      </c>
      <c r="G9" s="5">
        <f t="shared" si="3"/>
        <v>2</v>
      </c>
      <c r="H9" s="5">
        <f t="shared" si="4"/>
        <v>0</v>
      </c>
      <c r="I9" s="5">
        <f t="shared" si="5"/>
        <v>2</v>
      </c>
      <c r="J9">
        <f t="shared" si="6"/>
        <v>6</v>
      </c>
      <c r="K9">
        <f t="shared" si="7"/>
        <v>0</v>
      </c>
      <c r="L9">
        <f t="shared" si="8"/>
        <v>6</v>
      </c>
      <c r="M9">
        <f t="shared" si="9"/>
        <v>1</v>
      </c>
      <c r="N9">
        <f t="shared" si="10"/>
        <v>8</v>
      </c>
      <c r="O9">
        <f t="shared" si="11"/>
        <v>9</v>
      </c>
    </row>
    <row r="10" spans="2:15" ht="15.75" thickBot="1" x14ac:dyDescent="0.3">
      <c r="B10" s="1" t="s">
        <v>11</v>
      </c>
      <c r="C10" s="1" t="s">
        <v>12</v>
      </c>
      <c r="D10" s="2">
        <v>65</v>
      </c>
      <c r="E10" s="2">
        <v>300</v>
      </c>
      <c r="F10" s="9">
        <v>365</v>
      </c>
      <c r="G10" s="5">
        <f t="shared" si="3"/>
        <v>5</v>
      </c>
      <c r="H10" s="5">
        <f t="shared" si="4"/>
        <v>0</v>
      </c>
      <c r="I10" s="5">
        <f t="shared" si="5"/>
        <v>5</v>
      </c>
      <c r="J10">
        <f t="shared" si="6"/>
        <v>6</v>
      </c>
      <c r="K10">
        <f t="shared" si="7"/>
        <v>0</v>
      </c>
      <c r="L10">
        <f t="shared" si="8"/>
        <v>6</v>
      </c>
      <c r="M10">
        <f t="shared" si="9"/>
        <v>0</v>
      </c>
      <c r="N10">
        <f t="shared" si="10"/>
        <v>3</v>
      </c>
      <c r="O10">
        <f t="shared" si="11"/>
        <v>3</v>
      </c>
    </row>
    <row r="11" spans="2:15" ht="15.75" thickBot="1" x14ac:dyDescent="0.3">
      <c r="B11" s="1" t="s">
        <v>12</v>
      </c>
      <c r="C11" s="1" t="s">
        <v>13</v>
      </c>
      <c r="D11" s="2">
        <v>187</v>
      </c>
      <c r="E11" s="2">
        <v>782</v>
      </c>
      <c r="F11" s="9">
        <v>969</v>
      </c>
      <c r="G11" s="5">
        <f t="shared" si="3"/>
        <v>7</v>
      </c>
      <c r="H11" s="5">
        <f t="shared" si="4"/>
        <v>2</v>
      </c>
      <c r="I11" s="5">
        <f t="shared" si="5"/>
        <v>9</v>
      </c>
      <c r="J11">
        <f t="shared" si="6"/>
        <v>8</v>
      </c>
      <c r="K11">
        <f t="shared" si="7"/>
        <v>8</v>
      </c>
      <c r="L11">
        <f t="shared" si="8"/>
        <v>6</v>
      </c>
      <c r="M11">
        <f t="shared" si="9"/>
        <v>1</v>
      </c>
      <c r="N11">
        <f t="shared" si="10"/>
        <v>7</v>
      </c>
      <c r="O11">
        <f t="shared" si="11"/>
        <v>9</v>
      </c>
    </row>
    <row r="12" spans="2:15" ht="15.75" thickBot="1" x14ac:dyDescent="0.3">
      <c r="B12" s="1" t="s">
        <v>13</v>
      </c>
      <c r="C12" s="1" t="s">
        <v>14</v>
      </c>
      <c r="D12" s="2">
        <v>182</v>
      </c>
      <c r="E12" s="2">
        <v>595</v>
      </c>
      <c r="F12" s="9">
        <v>777</v>
      </c>
      <c r="G12" s="5">
        <f t="shared" si="3"/>
        <v>2</v>
      </c>
      <c r="H12" s="5">
        <f t="shared" si="4"/>
        <v>5</v>
      </c>
      <c r="I12" s="5">
        <f t="shared" si="5"/>
        <v>7</v>
      </c>
      <c r="J12">
        <f t="shared" si="6"/>
        <v>8</v>
      </c>
      <c r="K12">
        <f t="shared" si="7"/>
        <v>9</v>
      </c>
      <c r="L12">
        <f t="shared" si="8"/>
        <v>7</v>
      </c>
      <c r="M12">
        <f t="shared" si="9"/>
        <v>1</v>
      </c>
      <c r="N12">
        <f t="shared" si="10"/>
        <v>5</v>
      </c>
      <c r="O12">
        <f t="shared" si="11"/>
        <v>7</v>
      </c>
    </row>
    <row r="13" spans="2:15" x14ac:dyDescent="0.25">
      <c r="B13" s="3" t="s">
        <v>14</v>
      </c>
      <c r="C13" s="3" t="s">
        <v>15</v>
      </c>
      <c r="D13" s="4">
        <v>500</v>
      </c>
      <c r="E13" s="3">
        <v>450</v>
      </c>
      <c r="F13" s="10">
        <v>950</v>
      </c>
      <c r="G13" s="5">
        <f t="shared" si="3"/>
        <v>0</v>
      </c>
      <c r="H13" s="5">
        <f t="shared" si="4"/>
        <v>0</v>
      </c>
      <c r="I13" s="5">
        <f t="shared" si="5"/>
        <v>0</v>
      </c>
      <c r="J13">
        <f t="shared" si="6"/>
        <v>0</v>
      </c>
      <c r="K13">
        <f t="shared" si="7"/>
        <v>5</v>
      </c>
      <c r="L13">
        <f t="shared" si="8"/>
        <v>5</v>
      </c>
      <c r="M13">
        <f t="shared" si="9"/>
        <v>5</v>
      </c>
      <c r="N13">
        <f t="shared" si="10"/>
        <v>4</v>
      </c>
      <c r="O13">
        <f t="shared" si="11"/>
        <v>9</v>
      </c>
    </row>
    <row r="14" spans="2:15" x14ac:dyDescent="0.25">
      <c r="B14" s="5"/>
      <c r="C14" s="5" t="s">
        <v>31</v>
      </c>
      <c r="D14" s="6">
        <f>SUM(D4:D13)</f>
        <v>1556</v>
      </c>
      <c r="E14" s="5">
        <f>SUM(E4:E13)</f>
        <v>7019</v>
      </c>
      <c r="F14" s="6">
        <f>SUM(F4:F13)</f>
        <v>8575</v>
      </c>
      <c r="G14" s="5"/>
      <c r="H14" s="5"/>
      <c r="I14" s="5"/>
      <c r="J14" s="7"/>
      <c r="K14" s="5"/>
    </row>
    <row r="15" spans="2:15" ht="39.75" customHeight="1" thickBot="1" x14ac:dyDescent="0.3">
      <c r="B15" s="5"/>
      <c r="C15" s="5"/>
      <c r="D15" s="6"/>
      <c r="E15" s="5"/>
      <c r="F15" s="6"/>
      <c r="G15" s="37" t="s">
        <v>60</v>
      </c>
      <c r="H15" s="37"/>
      <c r="I15" s="37"/>
      <c r="J15" s="7"/>
      <c r="K15" s="5"/>
    </row>
    <row r="16" spans="2:15" ht="15.75" thickBot="1" x14ac:dyDescent="0.3">
      <c r="B16" s="1" t="s">
        <v>5</v>
      </c>
      <c r="C16" s="1" t="s">
        <v>6</v>
      </c>
      <c r="D16" s="2">
        <v>130</v>
      </c>
      <c r="E16" s="2">
        <v>800</v>
      </c>
      <c r="F16" s="9">
        <v>930</v>
      </c>
      <c r="G16" s="5">
        <f>MOD(D16, 10)</f>
        <v>0</v>
      </c>
      <c r="H16" s="5">
        <f t="shared" ref="H16" si="12">MOD(E16, 10)</f>
        <v>0</v>
      </c>
      <c r="I16" s="5">
        <f t="shared" ref="I16" si="13">MOD(F16, 10)</f>
        <v>0</v>
      </c>
      <c r="J16">
        <f>MOD(INT(D16/10),10)</f>
        <v>3</v>
      </c>
      <c r="K16">
        <f t="shared" ref="K16" si="14">MOD(INT(E16/10),10)</f>
        <v>0</v>
      </c>
      <c r="L16">
        <f t="shared" ref="L16" si="15">MOD(INT(F16/10),10)</f>
        <v>3</v>
      </c>
      <c r="M16">
        <f>MOD(INT(D16/100),10)</f>
        <v>1</v>
      </c>
      <c r="N16">
        <f t="shared" ref="N16" si="16">MOD(INT(E16/100),10)</f>
        <v>8</v>
      </c>
      <c r="O16">
        <f t="shared" ref="O16" si="17">MOD(INT(F16/100),10)</f>
        <v>9</v>
      </c>
    </row>
    <row r="17" spans="2:15" ht="15.75" thickBot="1" x14ac:dyDescent="0.3">
      <c r="B17" s="1" t="s">
        <v>6</v>
      </c>
      <c r="C17" s="1" t="s">
        <v>7</v>
      </c>
      <c r="D17" s="2">
        <v>105</v>
      </c>
      <c r="E17" s="2">
        <v>807</v>
      </c>
      <c r="F17" s="9">
        <v>912</v>
      </c>
      <c r="G17" s="5">
        <f t="shared" ref="G17:G25" si="18">MOD(D17, 10)</f>
        <v>5</v>
      </c>
      <c r="H17" s="5">
        <f t="shared" ref="H17:H24" si="19">MOD(E17, 10)</f>
        <v>7</v>
      </c>
      <c r="I17" s="5">
        <f t="shared" ref="I17:I25" si="20">MOD(F17, 10)</f>
        <v>2</v>
      </c>
      <c r="J17">
        <f t="shared" ref="J17:J25" si="21">MOD(INT(D17/10),10)</f>
        <v>0</v>
      </c>
      <c r="K17">
        <f t="shared" ref="K17:K24" si="22">MOD(INT(E17/10),10)</f>
        <v>0</v>
      </c>
      <c r="L17">
        <f t="shared" ref="L17:L25" si="23">MOD(INT(F17/10),10)</f>
        <v>1</v>
      </c>
      <c r="M17">
        <f t="shared" ref="M17:M25" si="24">MOD(INT(D17/100),10)</f>
        <v>1</v>
      </c>
      <c r="N17">
        <f t="shared" ref="N17:N24" si="25">MOD(INT(E17/100),10)</f>
        <v>8</v>
      </c>
      <c r="O17">
        <f t="shared" ref="O17:O25" si="26">MOD(INT(F17/100),10)</f>
        <v>9</v>
      </c>
    </row>
    <row r="18" spans="2:15" ht="15.75" thickBot="1" x14ac:dyDescent="0.3">
      <c r="B18" s="1" t="s">
        <v>7</v>
      </c>
      <c r="C18" s="1" t="s">
        <v>8</v>
      </c>
      <c r="D18" s="2">
        <v>90</v>
      </c>
      <c r="E18" s="2">
        <v>815</v>
      </c>
      <c r="F18" s="9">
        <v>905</v>
      </c>
      <c r="G18" s="5">
        <f t="shared" si="18"/>
        <v>0</v>
      </c>
      <c r="H18" s="5">
        <f t="shared" si="19"/>
        <v>5</v>
      </c>
      <c r="I18" s="5">
        <f t="shared" si="20"/>
        <v>5</v>
      </c>
      <c r="J18">
        <f t="shared" si="21"/>
        <v>9</v>
      </c>
      <c r="K18">
        <f t="shared" si="22"/>
        <v>1</v>
      </c>
      <c r="L18">
        <f t="shared" si="23"/>
        <v>0</v>
      </c>
      <c r="M18">
        <f t="shared" si="24"/>
        <v>0</v>
      </c>
      <c r="N18">
        <f t="shared" si="25"/>
        <v>8</v>
      </c>
      <c r="O18">
        <f t="shared" si="26"/>
        <v>9</v>
      </c>
    </row>
    <row r="19" spans="2:15" ht="15.75" thickBot="1" x14ac:dyDescent="0.3">
      <c r="B19" s="1" t="s">
        <v>8</v>
      </c>
      <c r="C19" s="1" t="s">
        <v>9</v>
      </c>
      <c r="D19" s="2">
        <v>70</v>
      </c>
      <c r="E19" s="2">
        <v>840</v>
      </c>
      <c r="F19" s="9">
        <v>910</v>
      </c>
      <c r="G19" s="5">
        <f t="shared" si="18"/>
        <v>0</v>
      </c>
      <c r="H19" s="5">
        <f t="shared" si="19"/>
        <v>0</v>
      </c>
      <c r="I19" s="5">
        <f t="shared" si="20"/>
        <v>0</v>
      </c>
      <c r="J19">
        <f t="shared" si="21"/>
        <v>7</v>
      </c>
      <c r="K19">
        <f t="shared" si="22"/>
        <v>4</v>
      </c>
      <c r="L19">
        <f t="shared" si="23"/>
        <v>1</v>
      </c>
      <c r="M19">
        <f t="shared" si="24"/>
        <v>0</v>
      </c>
      <c r="N19">
        <f t="shared" si="25"/>
        <v>8</v>
      </c>
      <c r="O19">
        <f t="shared" si="26"/>
        <v>9</v>
      </c>
    </row>
    <row r="20" spans="2:15" ht="15.75" thickBot="1" x14ac:dyDescent="0.3">
      <c r="B20" s="1" t="s">
        <v>9</v>
      </c>
      <c r="C20" s="1" t="s">
        <v>10</v>
      </c>
      <c r="D20" s="2">
        <v>65</v>
      </c>
      <c r="E20" s="2">
        <v>830</v>
      </c>
      <c r="F20" s="9">
        <v>895</v>
      </c>
      <c r="G20" s="5">
        <f t="shared" si="18"/>
        <v>5</v>
      </c>
      <c r="H20" s="5">
        <f t="shared" si="19"/>
        <v>0</v>
      </c>
      <c r="I20" s="5">
        <f t="shared" si="20"/>
        <v>5</v>
      </c>
      <c r="J20">
        <f t="shared" si="21"/>
        <v>6</v>
      </c>
      <c r="K20">
        <f t="shared" si="22"/>
        <v>3</v>
      </c>
      <c r="L20">
        <f t="shared" si="23"/>
        <v>9</v>
      </c>
      <c r="M20">
        <f t="shared" si="24"/>
        <v>0</v>
      </c>
      <c r="N20">
        <f t="shared" si="25"/>
        <v>8</v>
      </c>
      <c r="O20">
        <f t="shared" si="26"/>
        <v>8</v>
      </c>
    </row>
    <row r="21" spans="2:15" ht="15.75" thickBot="1" x14ac:dyDescent="0.3">
      <c r="B21" s="1" t="s">
        <v>10</v>
      </c>
      <c r="C21" s="1" t="s">
        <v>11</v>
      </c>
      <c r="D21" s="2">
        <v>162</v>
      </c>
      <c r="E21" s="2">
        <v>800</v>
      </c>
      <c r="F21" s="9">
        <v>962</v>
      </c>
      <c r="G21" s="5">
        <f t="shared" si="18"/>
        <v>2</v>
      </c>
      <c r="H21" s="5">
        <f t="shared" si="19"/>
        <v>0</v>
      </c>
      <c r="I21" s="5">
        <f t="shared" si="20"/>
        <v>2</v>
      </c>
      <c r="J21">
        <f t="shared" si="21"/>
        <v>6</v>
      </c>
      <c r="K21">
        <f t="shared" si="22"/>
        <v>0</v>
      </c>
      <c r="L21">
        <f t="shared" si="23"/>
        <v>6</v>
      </c>
      <c r="M21">
        <f t="shared" si="24"/>
        <v>1</v>
      </c>
      <c r="N21">
        <f t="shared" si="25"/>
        <v>8</v>
      </c>
      <c r="O21">
        <f t="shared" si="26"/>
        <v>9</v>
      </c>
    </row>
    <row r="22" spans="2:15" ht="15.75" thickBot="1" x14ac:dyDescent="0.3">
      <c r="B22" s="1" t="s">
        <v>11</v>
      </c>
      <c r="C22" s="1" t="s">
        <v>12</v>
      </c>
      <c r="D22" s="2">
        <v>65</v>
      </c>
      <c r="E22" s="2">
        <v>300</v>
      </c>
      <c r="F22" s="9">
        <v>365</v>
      </c>
      <c r="G22" s="5">
        <f t="shared" si="18"/>
        <v>5</v>
      </c>
      <c r="H22" s="5">
        <f t="shared" si="19"/>
        <v>0</v>
      </c>
      <c r="I22" s="5">
        <f t="shared" si="20"/>
        <v>5</v>
      </c>
      <c r="J22">
        <f t="shared" si="21"/>
        <v>6</v>
      </c>
      <c r="K22">
        <f t="shared" si="22"/>
        <v>0</v>
      </c>
      <c r="L22">
        <f t="shared" si="23"/>
        <v>6</v>
      </c>
      <c r="M22">
        <f t="shared" si="24"/>
        <v>0</v>
      </c>
      <c r="N22">
        <f t="shared" si="25"/>
        <v>3</v>
      </c>
      <c r="O22">
        <f t="shared" si="26"/>
        <v>3</v>
      </c>
    </row>
    <row r="23" spans="2:15" ht="15.75" thickBot="1" x14ac:dyDescent="0.3">
      <c r="B23" s="1" t="s">
        <v>12</v>
      </c>
      <c r="C23" s="1" t="s">
        <v>13</v>
      </c>
      <c r="D23" s="2">
        <v>187</v>
      </c>
      <c r="E23" s="2">
        <v>782</v>
      </c>
      <c r="F23" s="9">
        <v>969</v>
      </c>
      <c r="G23" s="5">
        <f t="shared" si="18"/>
        <v>7</v>
      </c>
      <c r="H23" s="5">
        <f t="shared" si="19"/>
        <v>2</v>
      </c>
      <c r="I23" s="5">
        <f t="shared" si="20"/>
        <v>9</v>
      </c>
      <c r="J23">
        <f t="shared" si="21"/>
        <v>8</v>
      </c>
      <c r="K23">
        <f t="shared" si="22"/>
        <v>8</v>
      </c>
      <c r="L23">
        <f t="shared" si="23"/>
        <v>6</v>
      </c>
      <c r="M23">
        <f t="shared" si="24"/>
        <v>1</v>
      </c>
      <c r="N23">
        <f t="shared" si="25"/>
        <v>7</v>
      </c>
      <c r="O23">
        <f t="shared" si="26"/>
        <v>9</v>
      </c>
    </row>
    <row r="24" spans="2:15" ht="15.75" thickBot="1" x14ac:dyDescent="0.3">
      <c r="B24" s="1" t="s">
        <v>13</v>
      </c>
      <c r="C24" s="1" t="s">
        <v>14</v>
      </c>
      <c r="D24" s="2">
        <v>182</v>
      </c>
      <c r="E24" s="2">
        <v>595</v>
      </c>
      <c r="F24" s="9">
        <v>777</v>
      </c>
      <c r="G24" s="5">
        <f t="shared" si="18"/>
        <v>2</v>
      </c>
      <c r="H24" s="5">
        <f t="shared" si="19"/>
        <v>5</v>
      </c>
      <c r="I24" s="5">
        <f t="shared" si="20"/>
        <v>7</v>
      </c>
      <c r="J24">
        <f t="shared" si="21"/>
        <v>8</v>
      </c>
      <c r="K24">
        <f t="shared" si="22"/>
        <v>9</v>
      </c>
      <c r="L24">
        <f t="shared" si="23"/>
        <v>7</v>
      </c>
      <c r="M24">
        <f t="shared" si="24"/>
        <v>1</v>
      </c>
      <c r="N24">
        <f t="shared" si="25"/>
        <v>5</v>
      </c>
      <c r="O24">
        <f t="shared" si="26"/>
        <v>7</v>
      </c>
    </row>
    <row r="25" spans="2:15" x14ac:dyDescent="0.25">
      <c r="B25" s="3" t="s">
        <v>14</v>
      </c>
      <c r="C25" s="3" t="s">
        <v>15</v>
      </c>
      <c r="D25" s="4">
        <v>500</v>
      </c>
      <c r="E25" s="3"/>
      <c r="F25" s="10">
        <v>950</v>
      </c>
      <c r="G25" s="5">
        <f t="shared" si="18"/>
        <v>0</v>
      </c>
      <c r="H25" s="5"/>
      <c r="I25" s="5">
        <f t="shared" si="20"/>
        <v>0</v>
      </c>
      <c r="J25">
        <f t="shared" si="21"/>
        <v>0</v>
      </c>
      <c r="L25">
        <f t="shared" si="23"/>
        <v>5</v>
      </c>
      <c r="M25">
        <f t="shared" si="24"/>
        <v>5</v>
      </c>
      <c r="O25">
        <f t="shared" si="26"/>
        <v>9</v>
      </c>
    </row>
    <row r="26" spans="2:15" x14ac:dyDescent="0.25">
      <c r="B26" s="5"/>
      <c r="C26" s="5"/>
      <c r="D26" s="6"/>
      <c r="E26" s="5"/>
      <c r="F26" s="6"/>
      <c r="G26" s="5"/>
      <c r="H26" s="5"/>
      <c r="I26" s="5"/>
      <c r="J26" s="7"/>
      <c r="K26" s="5"/>
    </row>
    <row r="27" spans="2:15" x14ac:dyDescent="0.25">
      <c r="B27" s="5"/>
      <c r="C27" s="5"/>
      <c r="D27" s="6"/>
      <c r="E27" s="5"/>
      <c r="F27" s="6"/>
      <c r="G27" s="5"/>
      <c r="H27" s="5"/>
      <c r="I27" s="5"/>
      <c r="J27" s="7"/>
      <c r="K27" s="5"/>
    </row>
    <row r="28" spans="2:15" x14ac:dyDescent="0.25">
      <c r="B28" s="5"/>
      <c r="C28" s="5"/>
      <c r="D28" s="6"/>
      <c r="E28" s="5"/>
      <c r="F28" s="6"/>
      <c r="G28" s="5"/>
      <c r="H28" s="5"/>
      <c r="I28" s="5"/>
      <c r="J28" s="7"/>
      <c r="K28" s="5"/>
      <c r="L28" s="5"/>
      <c r="N28" s="5"/>
      <c r="O28" s="5"/>
    </row>
    <row r="29" spans="2:15" x14ac:dyDescent="0.25">
      <c r="B29" s="5"/>
      <c r="C29" s="5"/>
      <c r="D29" s="6"/>
      <c r="E29" s="6"/>
      <c r="F29">
        <v>0</v>
      </c>
      <c r="G29">
        <f>COUNTIF(G$4:G$13,$F29)</f>
        <v>4</v>
      </c>
      <c r="H29">
        <f>COUNTIF(H$4:H$13,$F29)</f>
        <v>6</v>
      </c>
      <c r="I29">
        <f t="shared" ref="I29:O38" si="27">COUNTIF(I$4:I$13,$F29)</f>
        <v>3</v>
      </c>
      <c r="J29">
        <f t="shared" si="27"/>
        <v>2</v>
      </c>
      <c r="K29">
        <f t="shared" si="27"/>
        <v>4</v>
      </c>
      <c r="L29">
        <f t="shared" si="27"/>
        <v>1</v>
      </c>
      <c r="M29">
        <f t="shared" si="27"/>
        <v>4</v>
      </c>
      <c r="N29">
        <f t="shared" si="27"/>
        <v>0</v>
      </c>
      <c r="O29">
        <f t="shared" si="27"/>
        <v>0</v>
      </c>
    </row>
    <row r="30" spans="2:15" x14ac:dyDescent="0.25">
      <c r="B30" s="5"/>
      <c r="C30" s="5"/>
      <c r="D30" s="6"/>
      <c r="E30" s="6"/>
      <c r="F30">
        <v>1</v>
      </c>
      <c r="G30">
        <f t="shared" ref="G30:H38" si="28">COUNTIF(G$4:G$13,$F30)</f>
        <v>0</v>
      </c>
      <c r="H30">
        <f t="shared" si="28"/>
        <v>0</v>
      </c>
      <c r="I30">
        <f t="shared" si="27"/>
        <v>0</v>
      </c>
      <c r="J30">
        <f t="shared" si="27"/>
        <v>0</v>
      </c>
      <c r="K30">
        <f t="shared" si="27"/>
        <v>1</v>
      </c>
      <c r="L30">
        <f t="shared" si="27"/>
        <v>2</v>
      </c>
      <c r="M30">
        <f t="shared" si="27"/>
        <v>5</v>
      </c>
      <c r="N30">
        <f t="shared" si="27"/>
        <v>0</v>
      </c>
      <c r="O30">
        <f t="shared" si="27"/>
        <v>0</v>
      </c>
    </row>
    <row r="31" spans="2:15" x14ac:dyDescent="0.25">
      <c r="B31" s="5"/>
      <c r="C31" s="5"/>
      <c r="D31" s="6"/>
      <c r="E31" s="6"/>
      <c r="F31">
        <v>2</v>
      </c>
      <c r="G31">
        <f t="shared" si="28"/>
        <v>2</v>
      </c>
      <c r="H31">
        <f t="shared" si="28"/>
        <v>1</v>
      </c>
      <c r="I31">
        <f t="shared" si="27"/>
        <v>2</v>
      </c>
      <c r="J31">
        <f t="shared" si="27"/>
        <v>0</v>
      </c>
      <c r="K31">
        <f t="shared" si="27"/>
        <v>0</v>
      </c>
      <c r="L31">
        <f t="shared" si="27"/>
        <v>0</v>
      </c>
      <c r="M31">
        <f t="shared" si="27"/>
        <v>0</v>
      </c>
      <c r="N31">
        <f t="shared" si="27"/>
        <v>0</v>
      </c>
      <c r="O31">
        <f t="shared" si="27"/>
        <v>0</v>
      </c>
    </row>
    <row r="32" spans="2:15" x14ac:dyDescent="0.25">
      <c r="B32" s="5"/>
      <c r="C32" s="5"/>
      <c r="D32" s="6"/>
      <c r="E32" s="6"/>
      <c r="F32">
        <v>3</v>
      </c>
      <c r="G32">
        <f>COUNTIF(G$4:G$13,$F32)</f>
        <v>0</v>
      </c>
      <c r="H32">
        <f t="shared" si="28"/>
        <v>0</v>
      </c>
      <c r="I32">
        <f t="shared" si="27"/>
        <v>0</v>
      </c>
      <c r="J32">
        <f t="shared" si="27"/>
        <v>1</v>
      </c>
      <c r="K32">
        <f t="shared" si="27"/>
        <v>1</v>
      </c>
      <c r="L32">
        <f t="shared" si="27"/>
        <v>1</v>
      </c>
      <c r="M32">
        <f t="shared" si="27"/>
        <v>0</v>
      </c>
      <c r="N32">
        <f t="shared" si="27"/>
        <v>1</v>
      </c>
      <c r="O32">
        <f t="shared" si="27"/>
        <v>1</v>
      </c>
    </row>
    <row r="33" spans="2:15" x14ac:dyDescent="0.25">
      <c r="B33" s="5"/>
      <c r="C33" s="5"/>
      <c r="D33" s="6"/>
      <c r="E33" s="6"/>
      <c r="F33">
        <v>4</v>
      </c>
      <c r="G33">
        <f t="shared" si="28"/>
        <v>0</v>
      </c>
      <c r="H33">
        <f t="shared" si="28"/>
        <v>0</v>
      </c>
      <c r="I33">
        <f t="shared" si="27"/>
        <v>0</v>
      </c>
      <c r="J33">
        <f t="shared" si="27"/>
        <v>0</v>
      </c>
      <c r="K33">
        <f t="shared" si="27"/>
        <v>1</v>
      </c>
      <c r="L33">
        <f t="shared" si="27"/>
        <v>0</v>
      </c>
      <c r="M33">
        <f t="shared" si="27"/>
        <v>0</v>
      </c>
      <c r="N33">
        <f t="shared" si="27"/>
        <v>1</v>
      </c>
      <c r="O33">
        <f t="shared" si="27"/>
        <v>0</v>
      </c>
    </row>
    <row r="34" spans="2:15" x14ac:dyDescent="0.25">
      <c r="B34" s="5"/>
      <c r="C34" s="5"/>
      <c r="D34" s="6"/>
      <c r="E34" s="6"/>
      <c r="F34">
        <v>5</v>
      </c>
      <c r="G34">
        <f t="shared" si="28"/>
        <v>3</v>
      </c>
      <c r="H34">
        <f t="shared" si="28"/>
        <v>2</v>
      </c>
      <c r="I34">
        <f t="shared" si="27"/>
        <v>3</v>
      </c>
      <c r="J34">
        <f t="shared" si="27"/>
        <v>0</v>
      </c>
      <c r="K34">
        <f t="shared" si="27"/>
        <v>1</v>
      </c>
      <c r="L34">
        <f t="shared" si="27"/>
        <v>1</v>
      </c>
      <c r="M34">
        <f t="shared" si="27"/>
        <v>1</v>
      </c>
      <c r="N34">
        <f t="shared" si="27"/>
        <v>1</v>
      </c>
      <c r="O34">
        <f t="shared" si="27"/>
        <v>0</v>
      </c>
    </row>
    <row r="35" spans="2:15" x14ac:dyDescent="0.25">
      <c r="B35" s="5"/>
      <c r="C35" s="5"/>
      <c r="D35" s="6"/>
      <c r="E35" s="6"/>
      <c r="F35">
        <v>6</v>
      </c>
      <c r="G35">
        <f t="shared" si="28"/>
        <v>0</v>
      </c>
      <c r="H35">
        <f t="shared" si="28"/>
        <v>0</v>
      </c>
      <c r="I35">
        <f t="shared" si="27"/>
        <v>0</v>
      </c>
      <c r="J35">
        <f t="shared" si="27"/>
        <v>3</v>
      </c>
      <c r="K35">
        <f t="shared" si="27"/>
        <v>0</v>
      </c>
      <c r="L35">
        <f t="shared" si="27"/>
        <v>3</v>
      </c>
      <c r="M35">
        <f t="shared" si="27"/>
        <v>0</v>
      </c>
      <c r="N35">
        <f t="shared" si="27"/>
        <v>0</v>
      </c>
      <c r="O35">
        <f t="shared" si="27"/>
        <v>0</v>
      </c>
    </row>
    <row r="36" spans="2:15" x14ac:dyDescent="0.25">
      <c r="B36" s="5"/>
      <c r="C36" s="5"/>
      <c r="D36" s="6"/>
      <c r="E36" s="6"/>
      <c r="F36">
        <v>7</v>
      </c>
      <c r="G36">
        <f t="shared" si="28"/>
        <v>1</v>
      </c>
      <c r="H36">
        <f t="shared" si="28"/>
        <v>1</v>
      </c>
      <c r="I36">
        <f t="shared" si="27"/>
        <v>1</v>
      </c>
      <c r="J36">
        <f t="shared" si="27"/>
        <v>1</v>
      </c>
      <c r="K36">
        <f t="shared" si="27"/>
        <v>0</v>
      </c>
      <c r="L36">
        <f t="shared" si="27"/>
        <v>1</v>
      </c>
      <c r="M36">
        <f t="shared" si="27"/>
        <v>0</v>
      </c>
      <c r="N36">
        <f t="shared" si="27"/>
        <v>1</v>
      </c>
      <c r="O36">
        <f t="shared" si="27"/>
        <v>1</v>
      </c>
    </row>
    <row r="37" spans="2:15" x14ac:dyDescent="0.25">
      <c r="B37" s="5"/>
      <c r="C37" s="5"/>
      <c r="D37" s="6"/>
      <c r="E37" s="5"/>
      <c r="F37">
        <v>8</v>
      </c>
      <c r="G37">
        <f t="shared" si="28"/>
        <v>0</v>
      </c>
      <c r="H37">
        <f t="shared" si="28"/>
        <v>0</v>
      </c>
      <c r="I37">
        <f t="shared" si="27"/>
        <v>0</v>
      </c>
      <c r="J37">
        <f t="shared" si="27"/>
        <v>2</v>
      </c>
      <c r="K37">
        <f t="shared" si="27"/>
        <v>1</v>
      </c>
      <c r="L37">
        <f t="shared" si="27"/>
        <v>0</v>
      </c>
      <c r="M37">
        <f t="shared" si="27"/>
        <v>0</v>
      </c>
      <c r="N37">
        <f t="shared" si="27"/>
        <v>6</v>
      </c>
      <c r="O37">
        <f t="shared" si="27"/>
        <v>1</v>
      </c>
    </row>
    <row r="38" spans="2:15" x14ac:dyDescent="0.25">
      <c r="F38">
        <v>9</v>
      </c>
      <c r="G38">
        <f t="shared" si="28"/>
        <v>0</v>
      </c>
      <c r="H38">
        <f t="shared" si="28"/>
        <v>0</v>
      </c>
      <c r="I38">
        <f t="shared" si="27"/>
        <v>1</v>
      </c>
      <c r="J38">
        <f t="shared" si="27"/>
        <v>1</v>
      </c>
      <c r="K38">
        <f t="shared" si="27"/>
        <v>1</v>
      </c>
      <c r="L38">
        <f t="shared" si="27"/>
        <v>1</v>
      </c>
      <c r="M38">
        <f t="shared" si="27"/>
        <v>0</v>
      </c>
      <c r="N38">
        <f t="shared" si="27"/>
        <v>0</v>
      </c>
      <c r="O38">
        <f t="shared" si="27"/>
        <v>7</v>
      </c>
    </row>
    <row r="58" spans="8:13" x14ac:dyDescent="0.25">
      <c r="H58" s="36"/>
      <c r="I58" s="36"/>
      <c r="J58" s="36"/>
      <c r="K58" s="36"/>
      <c r="L58" s="36"/>
      <c r="M58" s="36"/>
    </row>
  </sheetData>
  <mergeCells count="7">
    <mergeCell ref="H58:J58"/>
    <mergeCell ref="K58:M58"/>
    <mergeCell ref="D2:F2"/>
    <mergeCell ref="G2:I2"/>
    <mergeCell ref="J2:L2"/>
    <mergeCell ref="M2:O2"/>
    <mergeCell ref="G15:I15"/>
  </mergeCells>
  <conditionalFormatting sqref="G29:O38">
    <cfRule type="cellIs" dxfId="6" priority="1" operator="greaterThan">
      <formula>4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6AF0-8E0D-45DB-9C79-88DC5C870858}">
  <dimension ref="B1:O56"/>
  <sheetViews>
    <sheetView zoomScale="55" zoomScaleNormal="55" workbookViewId="0">
      <selection activeCell="F29" sqref="F29"/>
    </sheetView>
  </sheetViews>
  <sheetFormatPr defaultRowHeight="15" x14ac:dyDescent="0.25"/>
  <cols>
    <col min="2" max="2" width="13.7109375" customWidth="1"/>
    <col min="3" max="3" width="12.7109375" customWidth="1"/>
    <col min="7" max="8" width="12.7109375" bestFit="1" customWidth="1"/>
    <col min="10" max="10" width="17.140625" customWidth="1"/>
    <col min="13" max="13" width="11" customWidth="1"/>
  </cols>
  <sheetData>
    <row r="1" spans="2:15" ht="15.75" thickBot="1" x14ac:dyDescent="0.3"/>
    <row r="2" spans="2:15" ht="15.75" thickBot="1" x14ac:dyDescent="0.3">
      <c r="B2" s="1" t="s">
        <v>0</v>
      </c>
      <c r="C2" s="1"/>
      <c r="D2" s="33" t="s">
        <v>16</v>
      </c>
      <c r="E2" s="34"/>
      <c r="F2" s="34"/>
      <c r="G2" s="35" t="s">
        <v>17</v>
      </c>
      <c r="H2" s="35"/>
      <c r="I2" s="35"/>
      <c r="J2" s="35" t="s">
        <v>18</v>
      </c>
      <c r="K2" s="35"/>
      <c r="L2" s="35"/>
      <c r="M2" s="35" t="s">
        <v>19</v>
      </c>
      <c r="N2" s="35"/>
      <c r="O2" s="35"/>
    </row>
    <row r="3" spans="2:15" ht="39.75" thickBot="1" x14ac:dyDescent="0.3">
      <c r="B3" s="1" t="s">
        <v>1</v>
      </c>
      <c r="C3" s="1" t="s">
        <v>2</v>
      </c>
      <c r="D3" s="1" t="s">
        <v>3</v>
      </c>
      <c r="E3" s="1" t="s">
        <v>210</v>
      </c>
      <c r="F3" s="8" t="s">
        <v>4</v>
      </c>
      <c r="G3" s="1" t="s">
        <v>3</v>
      </c>
      <c r="H3" s="1" t="s">
        <v>210</v>
      </c>
      <c r="I3" s="8" t="s">
        <v>4</v>
      </c>
      <c r="J3" s="1" t="s">
        <v>3</v>
      </c>
      <c r="K3" s="1" t="s">
        <v>210</v>
      </c>
      <c r="L3" s="8" t="s">
        <v>4</v>
      </c>
      <c r="M3" s="1" t="s">
        <v>3</v>
      </c>
      <c r="N3" s="1" t="s">
        <v>210</v>
      </c>
      <c r="O3" s="8" t="s">
        <v>4</v>
      </c>
    </row>
    <row r="4" spans="2:15" ht="15.75" thickBot="1" x14ac:dyDescent="0.3">
      <c r="B4" s="1" t="s">
        <v>15</v>
      </c>
      <c r="C4" s="1" t="s">
        <v>22</v>
      </c>
      <c r="D4" s="2">
        <v>100</v>
      </c>
      <c r="E4" s="2">
        <v>500</v>
      </c>
      <c r="F4" s="9">
        <f>D4+E4</f>
        <v>600</v>
      </c>
      <c r="G4" s="5">
        <f>MOD(D4, 10)</f>
        <v>0</v>
      </c>
      <c r="H4" s="5">
        <f t="shared" ref="H4:I4" si="0">MOD(E4, 10)</f>
        <v>0</v>
      </c>
      <c r="I4" s="5">
        <f t="shared" si="0"/>
        <v>0</v>
      </c>
      <c r="J4">
        <f>MOD(INT(D4/10),10)</f>
        <v>0</v>
      </c>
      <c r="K4">
        <f t="shared" ref="K4:L4" si="1">MOD(INT(E4/10),10)</f>
        <v>0</v>
      </c>
      <c r="L4">
        <f t="shared" si="1"/>
        <v>0</v>
      </c>
      <c r="M4">
        <f>MOD(INT(D4/100),10)</f>
        <v>1</v>
      </c>
      <c r="N4">
        <f t="shared" ref="N4:O4" si="2">MOD(INT(E4/100),10)</f>
        <v>5</v>
      </c>
      <c r="O4">
        <f t="shared" si="2"/>
        <v>6</v>
      </c>
    </row>
    <row r="5" spans="2:15" ht="15.75" thickBot="1" x14ac:dyDescent="0.3">
      <c r="B5" s="1" t="s">
        <v>22</v>
      </c>
      <c r="C5" s="1" t="s">
        <v>23</v>
      </c>
      <c r="D5" s="2">
        <v>35</v>
      </c>
      <c r="E5" s="2">
        <v>403</v>
      </c>
      <c r="F5" s="9">
        <f t="shared" ref="F5:F11" si="3">D5+E5</f>
        <v>438</v>
      </c>
      <c r="G5" s="5">
        <f t="shared" ref="G5:G12" si="4">MOD(D5, 10)</f>
        <v>5</v>
      </c>
      <c r="H5" s="5">
        <f t="shared" ref="H5:H12" si="5">MOD(E5, 10)</f>
        <v>3</v>
      </c>
      <c r="I5" s="5">
        <f t="shared" ref="I5:I12" si="6">MOD(F5, 10)</f>
        <v>8</v>
      </c>
      <c r="J5">
        <f t="shared" ref="J5:J12" si="7">MOD(INT(D5/10),10)</f>
        <v>3</v>
      </c>
      <c r="K5">
        <f t="shared" ref="K5:K12" si="8">MOD(INT(E5/10),10)</f>
        <v>0</v>
      </c>
      <c r="L5">
        <f t="shared" ref="L5:L12" si="9">MOD(INT(F5/10),10)</f>
        <v>3</v>
      </c>
      <c r="M5">
        <f t="shared" ref="M5:M12" si="10">MOD(INT(D5/100),10)</f>
        <v>0</v>
      </c>
      <c r="N5">
        <f t="shared" ref="N5:N12" si="11">MOD(INT(E5/100),10)</f>
        <v>4</v>
      </c>
      <c r="O5">
        <f t="shared" ref="O5:O12" si="12">MOD(INT(F5/100),10)</f>
        <v>4</v>
      </c>
    </row>
    <row r="6" spans="2:15" ht="15.75" thickBot="1" x14ac:dyDescent="0.3">
      <c r="B6" s="1" t="s">
        <v>23</v>
      </c>
      <c r="C6" s="1" t="s">
        <v>24</v>
      </c>
      <c r="D6" s="2">
        <v>30</v>
      </c>
      <c r="E6" s="2">
        <v>403</v>
      </c>
      <c r="F6" s="9">
        <f t="shared" si="3"/>
        <v>433</v>
      </c>
      <c r="G6" s="5">
        <f t="shared" si="4"/>
        <v>0</v>
      </c>
      <c r="H6" s="5">
        <f t="shared" si="5"/>
        <v>3</v>
      </c>
      <c r="I6" s="5">
        <f t="shared" si="6"/>
        <v>3</v>
      </c>
      <c r="J6">
        <f t="shared" si="7"/>
        <v>3</v>
      </c>
      <c r="K6">
        <f t="shared" si="8"/>
        <v>0</v>
      </c>
      <c r="L6">
        <f t="shared" si="9"/>
        <v>3</v>
      </c>
      <c r="M6">
        <f t="shared" si="10"/>
        <v>0</v>
      </c>
      <c r="N6">
        <f t="shared" si="11"/>
        <v>4</v>
      </c>
      <c r="O6">
        <f t="shared" si="12"/>
        <v>4</v>
      </c>
    </row>
    <row r="7" spans="2:15" ht="15.75" thickBot="1" x14ac:dyDescent="0.3">
      <c r="B7" s="1" t="s">
        <v>24</v>
      </c>
      <c r="C7" s="1" t="s">
        <v>25</v>
      </c>
      <c r="D7" s="2">
        <v>34</v>
      </c>
      <c r="E7" s="2">
        <v>430</v>
      </c>
      <c r="F7" s="9">
        <f t="shared" si="3"/>
        <v>464</v>
      </c>
      <c r="G7" s="5">
        <f t="shared" si="4"/>
        <v>4</v>
      </c>
      <c r="H7" s="5">
        <f t="shared" si="5"/>
        <v>0</v>
      </c>
      <c r="I7" s="5">
        <f t="shared" si="6"/>
        <v>4</v>
      </c>
      <c r="J7">
        <f t="shared" si="7"/>
        <v>3</v>
      </c>
      <c r="K7">
        <f t="shared" si="8"/>
        <v>3</v>
      </c>
      <c r="L7">
        <f t="shared" si="9"/>
        <v>6</v>
      </c>
      <c r="M7">
        <f t="shared" si="10"/>
        <v>0</v>
      </c>
      <c r="N7">
        <f t="shared" si="11"/>
        <v>4</v>
      </c>
      <c r="O7">
        <f t="shared" si="12"/>
        <v>4</v>
      </c>
    </row>
    <row r="8" spans="2:15" ht="15.75" thickBot="1" x14ac:dyDescent="0.3">
      <c r="B8" s="1" t="s">
        <v>25</v>
      </c>
      <c r="C8" s="1" t="s">
        <v>26</v>
      </c>
      <c r="D8" s="2">
        <v>30</v>
      </c>
      <c r="E8" s="2">
        <v>209</v>
      </c>
      <c r="F8" s="9">
        <f t="shared" si="3"/>
        <v>239</v>
      </c>
      <c r="G8" s="5">
        <f t="shared" si="4"/>
        <v>0</v>
      </c>
      <c r="H8" s="5">
        <f t="shared" si="5"/>
        <v>9</v>
      </c>
      <c r="I8" s="5">
        <f t="shared" si="6"/>
        <v>9</v>
      </c>
      <c r="J8">
        <f t="shared" si="7"/>
        <v>3</v>
      </c>
      <c r="K8">
        <f t="shared" si="8"/>
        <v>0</v>
      </c>
      <c r="L8">
        <f t="shared" si="9"/>
        <v>3</v>
      </c>
      <c r="M8">
        <f t="shared" si="10"/>
        <v>0</v>
      </c>
      <c r="N8">
        <f t="shared" si="11"/>
        <v>2</v>
      </c>
      <c r="O8">
        <f t="shared" si="12"/>
        <v>2</v>
      </c>
    </row>
    <row r="9" spans="2:15" ht="15.75" thickBot="1" x14ac:dyDescent="0.3">
      <c r="B9" s="1" t="s">
        <v>26</v>
      </c>
      <c r="C9" s="1" t="s">
        <v>27</v>
      </c>
      <c r="D9" s="2">
        <v>32</v>
      </c>
      <c r="E9" s="2">
        <v>207</v>
      </c>
      <c r="F9" s="9">
        <f t="shared" si="3"/>
        <v>239</v>
      </c>
      <c r="G9" s="5">
        <f t="shared" si="4"/>
        <v>2</v>
      </c>
      <c r="H9" s="5">
        <f t="shared" si="5"/>
        <v>7</v>
      </c>
      <c r="I9" s="5">
        <f t="shared" si="6"/>
        <v>9</v>
      </c>
      <c r="J9">
        <f t="shared" si="7"/>
        <v>3</v>
      </c>
      <c r="K9">
        <f t="shared" si="8"/>
        <v>0</v>
      </c>
      <c r="L9">
        <f t="shared" si="9"/>
        <v>3</v>
      </c>
      <c r="M9">
        <f t="shared" si="10"/>
        <v>0</v>
      </c>
      <c r="N9">
        <f t="shared" si="11"/>
        <v>2</v>
      </c>
      <c r="O9">
        <f t="shared" si="12"/>
        <v>2</v>
      </c>
    </row>
    <row r="10" spans="2:15" ht="15.75" thickBot="1" x14ac:dyDescent="0.3">
      <c r="B10" s="1" t="s">
        <v>27</v>
      </c>
      <c r="C10" s="1" t="s">
        <v>28</v>
      </c>
      <c r="D10" s="2">
        <v>30</v>
      </c>
      <c r="E10" s="2">
        <v>200</v>
      </c>
      <c r="F10" s="9">
        <f t="shared" si="3"/>
        <v>230</v>
      </c>
      <c r="G10" s="5">
        <f t="shared" si="4"/>
        <v>0</v>
      </c>
      <c r="H10" s="5">
        <f t="shared" si="5"/>
        <v>0</v>
      </c>
      <c r="I10" s="5">
        <f t="shared" si="6"/>
        <v>0</v>
      </c>
      <c r="J10">
        <f t="shared" si="7"/>
        <v>3</v>
      </c>
      <c r="K10">
        <f t="shared" si="8"/>
        <v>0</v>
      </c>
      <c r="L10">
        <f t="shared" si="9"/>
        <v>3</v>
      </c>
      <c r="M10">
        <f t="shared" si="10"/>
        <v>0</v>
      </c>
      <c r="N10">
        <f t="shared" si="11"/>
        <v>2</v>
      </c>
      <c r="O10">
        <f t="shared" si="12"/>
        <v>2</v>
      </c>
    </row>
    <row r="11" spans="2:15" ht="15.75" thickBot="1" x14ac:dyDescent="0.3">
      <c r="B11" s="1" t="s">
        <v>28</v>
      </c>
      <c r="C11" s="1" t="s">
        <v>29</v>
      </c>
      <c r="D11" s="2">
        <v>29</v>
      </c>
      <c r="E11" s="2">
        <v>119</v>
      </c>
      <c r="F11" s="9">
        <f t="shared" si="3"/>
        <v>148</v>
      </c>
      <c r="G11" s="5">
        <f t="shared" si="4"/>
        <v>9</v>
      </c>
      <c r="H11" s="5">
        <f t="shared" si="5"/>
        <v>9</v>
      </c>
      <c r="I11" s="5">
        <f t="shared" si="6"/>
        <v>8</v>
      </c>
      <c r="J11">
        <f t="shared" si="7"/>
        <v>2</v>
      </c>
      <c r="K11">
        <f t="shared" si="8"/>
        <v>1</v>
      </c>
      <c r="L11">
        <f t="shared" si="9"/>
        <v>4</v>
      </c>
      <c r="M11">
        <f t="shared" si="10"/>
        <v>0</v>
      </c>
      <c r="N11">
        <f t="shared" si="11"/>
        <v>1</v>
      </c>
      <c r="O11">
        <f t="shared" si="12"/>
        <v>1</v>
      </c>
    </row>
    <row r="12" spans="2:15" ht="15.75" thickBot="1" x14ac:dyDescent="0.3">
      <c r="B12" s="1" t="s">
        <v>29</v>
      </c>
      <c r="C12" s="1" t="s">
        <v>30</v>
      </c>
      <c r="D12" s="2">
        <v>70</v>
      </c>
      <c r="E12" s="2">
        <f>F12-D12</f>
        <v>135</v>
      </c>
      <c r="F12" s="9">
        <v>205</v>
      </c>
      <c r="G12" s="5">
        <f t="shared" si="4"/>
        <v>0</v>
      </c>
      <c r="H12" s="5">
        <f t="shared" si="5"/>
        <v>5</v>
      </c>
      <c r="I12" s="5">
        <f t="shared" si="6"/>
        <v>5</v>
      </c>
      <c r="J12">
        <f t="shared" si="7"/>
        <v>7</v>
      </c>
      <c r="K12">
        <f t="shared" si="8"/>
        <v>3</v>
      </c>
      <c r="L12">
        <f t="shared" si="9"/>
        <v>0</v>
      </c>
      <c r="M12">
        <f t="shared" si="10"/>
        <v>0</v>
      </c>
      <c r="N12">
        <f t="shared" si="11"/>
        <v>1</v>
      </c>
      <c r="O12">
        <f t="shared" si="12"/>
        <v>2</v>
      </c>
    </row>
    <row r="13" spans="2:15" x14ac:dyDescent="0.25">
      <c r="B13" s="5"/>
      <c r="C13" s="5" t="s">
        <v>31</v>
      </c>
      <c r="D13" s="6">
        <f>SUM(D4:D12)</f>
        <v>390</v>
      </c>
      <c r="E13" s="5">
        <f>SUM(E4:E12)</f>
        <v>2606</v>
      </c>
      <c r="F13" s="6">
        <f>SUM(F4:F12)</f>
        <v>2996</v>
      </c>
      <c r="G13" s="5"/>
      <c r="H13" s="5"/>
      <c r="I13" s="5"/>
      <c r="J13" s="7"/>
      <c r="K13" s="5"/>
    </row>
    <row r="14" spans="2:15" ht="39.75" customHeight="1" thickBot="1" x14ac:dyDescent="0.3">
      <c r="B14" s="5"/>
      <c r="C14" s="5"/>
      <c r="D14" s="6"/>
      <c r="E14" s="5"/>
      <c r="F14" s="6"/>
      <c r="G14" s="37" t="s">
        <v>60</v>
      </c>
      <c r="H14" s="37"/>
      <c r="I14" s="37"/>
      <c r="J14" s="7"/>
      <c r="K14" s="5"/>
    </row>
    <row r="15" spans="2:15" ht="15.75" thickBot="1" x14ac:dyDescent="0.3">
      <c r="B15" s="1" t="s">
        <v>15</v>
      </c>
      <c r="C15" s="1" t="s">
        <v>22</v>
      </c>
      <c r="D15" s="2">
        <v>100</v>
      </c>
      <c r="E15" s="2">
        <v>500</v>
      </c>
      <c r="F15" s="9"/>
      <c r="G15" s="5">
        <f>MOD(D15, 10)</f>
        <v>0</v>
      </c>
      <c r="H15" s="5">
        <f t="shared" ref="H15" si="13">MOD(E15, 10)</f>
        <v>0</v>
      </c>
      <c r="I15" s="5"/>
      <c r="J15">
        <f>MOD(INT(D15/10),10)</f>
        <v>0</v>
      </c>
      <c r="K15">
        <f t="shared" ref="K15" si="14">MOD(INT(E15/10),10)</f>
        <v>0</v>
      </c>
      <c r="M15">
        <f>MOD(INT(D15/100),10)</f>
        <v>1</v>
      </c>
      <c r="N15">
        <f t="shared" ref="N15" si="15">MOD(INT(E15/100),10)</f>
        <v>5</v>
      </c>
    </row>
    <row r="16" spans="2:15" ht="15.75" thickBot="1" x14ac:dyDescent="0.3">
      <c r="B16" s="1" t="s">
        <v>22</v>
      </c>
      <c r="C16" s="1" t="s">
        <v>23</v>
      </c>
      <c r="D16" s="2">
        <v>35</v>
      </c>
      <c r="E16" s="2">
        <v>403</v>
      </c>
      <c r="F16" s="9"/>
      <c r="G16" s="5">
        <f t="shared" ref="G16:G23" si="16">MOD(D16, 10)</f>
        <v>5</v>
      </c>
      <c r="H16" s="5">
        <f t="shared" ref="H16:H23" si="17">MOD(E16, 10)</f>
        <v>3</v>
      </c>
      <c r="I16" s="5"/>
      <c r="J16">
        <f t="shared" ref="J16:J23" si="18">MOD(INT(D16/10),10)</f>
        <v>3</v>
      </c>
      <c r="K16">
        <f t="shared" ref="K16:K23" si="19">MOD(INT(E16/10),10)</f>
        <v>0</v>
      </c>
      <c r="M16">
        <f t="shared" ref="M16:M23" si="20">MOD(INT(D16/100),10)</f>
        <v>0</v>
      </c>
      <c r="N16">
        <f t="shared" ref="N16:N23" si="21">MOD(INT(E16/100),10)</f>
        <v>4</v>
      </c>
    </row>
    <row r="17" spans="2:15" ht="15.75" thickBot="1" x14ac:dyDescent="0.3">
      <c r="B17" s="1" t="s">
        <v>23</v>
      </c>
      <c r="C17" s="1" t="s">
        <v>24</v>
      </c>
      <c r="D17" s="2">
        <v>30</v>
      </c>
      <c r="E17" s="2">
        <v>403</v>
      </c>
      <c r="F17" s="9"/>
      <c r="G17" s="5">
        <f t="shared" si="16"/>
        <v>0</v>
      </c>
      <c r="H17" s="5">
        <f t="shared" si="17"/>
        <v>3</v>
      </c>
      <c r="I17" s="5"/>
      <c r="J17">
        <f t="shared" si="18"/>
        <v>3</v>
      </c>
      <c r="K17">
        <f t="shared" si="19"/>
        <v>0</v>
      </c>
      <c r="M17">
        <f t="shared" si="20"/>
        <v>0</v>
      </c>
      <c r="N17">
        <f t="shared" si="21"/>
        <v>4</v>
      </c>
    </row>
    <row r="18" spans="2:15" ht="15.75" thickBot="1" x14ac:dyDescent="0.3">
      <c r="B18" s="1" t="s">
        <v>24</v>
      </c>
      <c r="C18" s="1" t="s">
        <v>25</v>
      </c>
      <c r="D18" s="2">
        <v>34</v>
      </c>
      <c r="E18" s="2">
        <v>430</v>
      </c>
      <c r="F18" s="9"/>
      <c r="G18" s="5">
        <f t="shared" si="16"/>
        <v>4</v>
      </c>
      <c r="H18" s="5">
        <f t="shared" si="17"/>
        <v>0</v>
      </c>
      <c r="I18" s="5"/>
      <c r="J18">
        <f t="shared" si="18"/>
        <v>3</v>
      </c>
      <c r="K18">
        <f t="shared" si="19"/>
        <v>3</v>
      </c>
      <c r="M18">
        <f t="shared" si="20"/>
        <v>0</v>
      </c>
      <c r="N18">
        <f t="shared" si="21"/>
        <v>4</v>
      </c>
    </row>
    <row r="19" spans="2:15" ht="15.75" thickBot="1" x14ac:dyDescent="0.3">
      <c r="B19" s="1" t="s">
        <v>25</v>
      </c>
      <c r="C19" s="1" t="s">
        <v>26</v>
      </c>
      <c r="D19" s="2">
        <v>30</v>
      </c>
      <c r="E19" s="2">
        <v>209</v>
      </c>
      <c r="F19" s="9"/>
      <c r="G19" s="5">
        <f t="shared" si="16"/>
        <v>0</v>
      </c>
      <c r="H19" s="5">
        <f t="shared" si="17"/>
        <v>9</v>
      </c>
      <c r="I19" s="5"/>
      <c r="J19">
        <f t="shared" si="18"/>
        <v>3</v>
      </c>
      <c r="K19">
        <f t="shared" si="19"/>
        <v>0</v>
      </c>
      <c r="M19">
        <f t="shared" si="20"/>
        <v>0</v>
      </c>
      <c r="N19">
        <f t="shared" si="21"/>
        <v>2</v>
      </c>
    </row>
    <row r="20" spans="2:15" ht="15.75" thickBot="1" x14ac:dyDescent="0.3">
      <c r="B20" s="1" t="s">
        <v>26</v>
      </c>
      <c r="C20" s="1" t="s">
        <v>27</v>
      </c>
      <c r="D20" s="2">
        <v>32</v>
      </c>
      <c r="E20" s="2">
        <v>207</v>
      </c>
      <c r="F20" s="9"/>
      <c r="G20" s="5">
        <f t="shared" si="16"/>
        <v>2</v>
      </c>
      <c r="H20" s="5">
        <f t="shared" si="17"/>
        <v>7</v>
      </c>
      <c r="I20" s="5"/>
      <c r="J20">
        <f t="shared" si="18"/>
        <v>3</v>
      </c>
      <c r="K20">
        <f t="shared" si="19"/>
        <v>0</v>
      </c>
      <c r="M20">
        <f t="shared" si="20"/>
        <v>0</v>
      </c>
      <c r="N20">
        <f t="shared" si="21"/>
        <v>2</v>
      </c>
    </row>
    <row r="21" spans="2:15" ht="15.75" thickBot="1" x14ac:dyDescent="0.3">
      <c r="B21" s="1" t="s">
        <v>27</v>
      </c>
      <c r="C21" s="1" t="s">
        <v>28</v>
      </c>
      <c r="D21" s="2">
        <v>30</v>
      </c>
      <c r="E21" s="2">
        <v>200</v>
      </c>
      <c r="F21" s="9"/>
      <c r="G21" s="5">
        <f t="shared" si="16"/>
        <v>0</v>
      </c>
      <c r="H21" s="5">
        <f t="shared" si="17"/>
        <v>0</v>
      </c>
      <c r="I21" s="5"/>
      <c r="J21">
        <f t="shared" si="18"/>
        <v>3</v>
      </c>
      <c r="K21">
        <f t="shared" si="19"/>
        <v>0</v>
      </c>
      <c r="M21">
        <f t="shared" si="20"/>
        <v>0</v>
      </c>
      <c r="N21">
        <f t="shared" si="21"/>
        <v>2</v>
      </c>
    </row>
    <row r="22" spans="2:15" ht="15.75" thickBot="1" x14ac:dyDescent="0.3">
      <c r="B22" s="1" t="s">
        <v>28</v>
      </c>
      <c r="C22" s="1" t="s">
        <v>29</v>
      </c>
      <c r="D22" s="2">
        <v>29</v>
      </c>
      <c r="E22" s="2">
        <v>119</v>
      </c>
      <c r="F22" s="9"/>
      <c r="G22" s="5">
        <f t="shared" si="16"/>
        <v>9</v>
      </c>
      <c r="H22" s="5">
        <f t="shared" si="17"/>
        <v>9</v>
      </c>
      <c r="I22" s="5"/>
      <c r="J22">
        <f t="shared" si="18"/>
        <v>2</v>
      </c>
      <c r="K22">
        <f t="shared" si="19"/>
        <v>1</v>
      </c>
      <c r="M22">
        <f t="shared" si="20"/>
        <v>0</v>
      </c>
      <c r="N22">
        <f t="shared" si="21"/>
        <v>1</v>
      </c>
    </row>
    <row r="23" spans="2:15" ht="15.75" thickBot="1" x14ac:dyDescent="0.3">
      <c r="B23" s="1" t="s">
        <v>29</v>
      </c>
      <c r="C23" s="1" t="s">
        <v>30</v>
      </c>
      <c r="D23" s="2">
        <v>70</v>
      </c>
      <c r="E23" s="2"/>
      <c r="F23" s="9">
        <v>205</v>
      </c>
      <c r="G23" s="5">
        <f t="shared" si="16"/>
        <v>0</v>
      </c>
      <c r="H23" s="5"/>
      <c r="I23" s="5">
        <f t="shared" ref="I16:I23" si="22">MOD(F23, 10)</f>
        <v>5</v>
      </c>
      <c r="J23">
        <f t="shared" si="18"/>
        <v>7</v>
      </c>
      <c r="L23">
        <f t="shared" ref="L16:L23" si="23">MOD(INT(F23/10),10)</f>
        <v>0</v>
      </c>
      <c r="M23">
        <f t="shared" si="20"/>
        <v>0</v>
      </c>
      <c r="O23">
        <f t="shared" ref="O16:O23" si="24">MOD(INT(F23/100),10)</f>
        <v>2</v>
      </c>
    </row>
    <row r="24" spans="2:15" x14ac:dyDescent="0.25">
      <c r="B24" s="5"/>
      <c r="C24" s="5"/>
      <c r="D24" s="6"/>
      <c r="E24" s="5"/>
      <c r="F24" s="6"/>
      <c r="G24" s="5"/>
      <c r="H24" s="5"/>
      <c r="I24" s="5"/>
      <c r="J24" s="7"/>
      <c r="K24" s="5"/>
    </row>
    <row r="25" spans="2:15" x14ac:dyDescent="0.25">
      <c r="B25" s="5"/>
      <c r="C25" s="5"/>
      <c r="D25" s="6"/>
      <c r="E25" s="5"/>
      <c r="F25" s="6"/>
      <c r="G25" s="5"/>
      <c r="H25" s="5"/>
      <c r="I25" s="5"/>
      <c r="J25" s="7"/>
      <c r="K25" s="5"/>
    </row>
    <row r="26" spans="2:15" x14ac:dyDescent="0.25">
      <c r="B26" s="5"/>
      <c r="C26" s="5"/>
      <c r="D26" s="6"/>
      <c r="E26" s="5"/>
      <c r="F26" s="6"/>
      <c r="G26" s="5"/>
      <c r="H26" s="5"/>
      <c r="I26" s="5"/>
      <c r="J26" s="7"/>
      <c r="K26" s="5"/>
      <c r="L26" s="5"/>
      <c r="N26" s="5"/>
      <c r="O26" s="5"/>
    </row>
    <row r="27" spans="2:15" x14ac:dyDescent="0.25">
      <c r="B27" s="5"/>
      <c r="C27" s="5"/>
      <c r="D27" s="6"/>
      <c r="E27" s="6"/>
      <c r="F27">
        <v>0</v>
      </c>
      <c r="G27">
        <f>COUNTIF(G$4:G$12,$F27)</f>
        <v>5</v>
      </c>
      <c r="H27">
        <f t="shared" ref="H27:O36" si="25">COUNTIF(H$4:H$12,$F27)</f>
        <v>3</v>
      </c>
      <c r="I27">
        <f t="shared" si="25"/>
        <v>2</v>
      </c>
      <c r="J27">
        <f t="shared" si="25"/>
        <v>1</v>
      </c>
      <c r="K27">
        <f t="shared" si="25"/>
        <v>6</v>
      </c>
      <c r="L27">
        <f t="shared" si="25"/>
        <v>2</v>
      </c>
      <c r="M27">
        <f t="shared" si="25"/>
        <v>8</v>
      </c>
      <c r="N27">
        <f t="shared" si="25"/>
        <v>0</v>
      </c>
      <c r="O27">
        <f t="shared" si="25"/>
        <v>0</v>
      </c>
    </row>
    <row r="28" spans="2:15" x14ac:dyDescent="0.25">
      <c r="B28" s="5"/>
      <c r="C28" s="5"/>
      <c r="D28" s="6"/>
      <c r="E28" s="6"/>
      <c r="F28">
        <v>1</v>
      </c>
      <c r="G28">
        <f t="shared" ref="G28:G36" si="26">COUNTIF(G$4:G$12,$F28)</f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>COUNTIF(K$4:K$12,$F28)</f>
        <v>1</v>
      </c>
      <c r="L28">
        <f t="shared" si="25"/>
        <v>0</v>
      </c>
      <c r="M28">
        <f t="shared" si="25"/>
        <v>1</v>
      </c>
      <c r="N28">
        <f t="shared" si="25"/>
        <v>2</v>
      </c>
      <c r="O28">
        <f t="shared" si="25"/>
        <v>1</v>
      </c>
    </row>
    <row r="29" spans="2:15" x14ac:dyDescent="0.25">
      <c r="B29" s="5"/>
      <c r="C29" s="5"/>
      <c r="D29" s="6"/>
      <c r="E29" s="6"/>
      <c r="F29">
        <v>2</v>
      </c>
      <c r="G29">
        <f t="shared" si="26"/>
        <v>1</v>
      </c>
      <c r="H29">
        <f t="shared" si="25"/>
        <v>0</v>
      </c>
      <c r="I29">
        <f t="shared" si="25"/>
        <v>0</v>
      </c>
      <c r="J29">
        <f t="shared" si="25"/>
        <v>1</v>
      </c>
      <c r="K29">
        <f t="shared" si="25"/>
        <v>0</v>
      </c>
      <c r="L29">
        <f t="shared" si="25"/>
        <v>0</v>
      </c>
      <c r="M29">
        <f t="shared" si="25"/>
        <v>0</v>
      </c>
      <c r="N29">
        <f t="shared" si="25"/>
        <v>3</v>
      </c>
      <c r="O29">
        <f t="shared" si="25"/>
        <v>4</v>
      </c>
    </row>
    <row r="30" spans="2:15" x14ac:dyDescent="0.25">
      <c r="B30" s="5"/>
      <c r="C30" s="5"/>
      <c r="D30" s="6"/>
      <c r="E30" s="6"/>
      <c r="F30">
        <v>3</v>
      </c>
      <c r="G30">
        <f t="shared" si="26"/>
        <v>0</v>
      </c>
      <c r="H30">
        <f t="shared" si="25"/>
        <v>2</v>
      </c>
      <c r="I30">
        <f t="shared" si="25"/>
        <v>1</v>
      </c>
      <c r="J30">
        <f t="shared" si="25"/>
        <v>6</v>
      </c>
      <c r="K30">
        <f t="shared" si="25"/>
        <v>2</v>
      </c>
      <c r="L30">
        <f t="shared" si="25"/>
        <v>5</v>
      </c>
      <c r="M30">
        <f t="shared" si="25"/>
        <v>0</v>
      </c>
      <c r="N30">
        <f t="shared" si="25"/>
        <v>0</v>
      </c>
      <c r="O30">
        <f t="shared" si="25"/>
        <v>0</v>
      </c>
    </row>
    <row r="31" spans="2:15" x14ac:dyDescent="0.25">
      <c r="B31" s="5"/>
      <c r="C31" s="5"/>
      <c r="D31" s="6"/>
      <c r="E31" s="6"/>
      <c r="F31">
        <v>4</v>
      </c>
      <c r="G31">
        <f t="shared" si="26"/>
        <v>1</v>
      </c>
      <c r="H31">
        <f t="shared" si="25"/>
        <v>0</v>
      </c>
      <c r="I31">
        <f t="shared" si="25"/>
        <v>1</v>
      </c>
      <c r="J31">
        <f t="shared" si="25"/>
        <v>0</v>
      </c>
      <c r="K31">
        <f t="shared" si="25"/>
        <v>0</v>
      </c>
      <c r="L31">
        <f t="shared" si="25"/>
        <v>1</v>
      </c>
      <c r="M31">
        <f t="shared" si="25"/>
        <v>0</v>
      </c>
      <c r="N31">
        <f t="shared" si="25"/>
        <v>3</v>
      </c>
      <c r="O31">
        <f t="shared" si="25"/>
        <v>3</v>
      </c>
    </row>
    <row r="32" spans="2:15" x14ac:dyDescent="0.25">
      <c r="B32" s="5"/>
      <c r="C32" s="5"/>
      <c r="D32" s="6"/>
      <c r="E32" s="6"/>
      <c r="F32">
        <v>5</v>
      </c>
      <c r="G32">
        <f t="shared" si="26"/>
        <v>1</v>
      </c>
      <c r="H32">
        <f t="shared" si="25"/>
        <v>1</v>
      </c>
      <c r="I32">
        <f t="shared" si="25"/>
        <v>1</v>
      </c>
      <c r="J32">
        <f t="shared" si="25"/>
        <v>0</v>
      </c>
      <c r="K32">
        <f t="shared" si="25"/>
        <v>0</v>
      </c>
      <c r="L32">
        <f t="shared" si="25"/>
        <v>0</v>
      </c>
      <c r="M32">
        <f t="shared" si="25"/>
        <v>0</v>
      </c>
      <c r="N32">
        <f t="shared" si="25"/>
        <v>1</v>
      </c>
      <c r="O32">
        <f t="shared" si="25"/>
        <v>0</v>
      </c>
    </row>
    <row r="33" spans="2:15" x14ac:dyDescent="0.25">
      <c r="B33" s="5"/>
      <c r="C33" s="5"/>
      <c r="D33" s="6"/>
      <c r="E33" s="6"/>
      <c r="F33">
        <v>6</v>
      </c>
      <c r="G33">
        <f t="shared" si="26"/>
        <v>0</v>
      </c>
      <c r="H33">
        <f t="shared" si="25"/>
        <v>0</v>
      </c>
      <c r="I33">
        <f t="shared" si="25"/>
        <v>0</v>
      </c>
      <c r="J33">
        <f t="shared" si="25"/>
        <v>0</v>
      </c>
      <c r="K33">
        <f t="shared" si="25"/>
        <v>0</v>
      </c>
      <c r="L33">
        <f t="shared" si="25"/>
        <v>1</v>
      </c>
      <c r="M33">
        <f t="shared" si="25"/>
        <v>0</v>
      </c>
      <c r="N33">
        <f t="shared" si="25"/>
        <v>0</v>
      </c>
      <c r="O33">
        <f t="shared" si="25"/>
        <v>1</v>
      </c>
    </row>
    <row r="34" spans="2:15" x14ac:dyDescent="0.25">
      <c r="B34" s="5"/>
      <c r="C34" s="5"/>
      <c r="D34" s="6"/>
      <c r="E34" s="6"/>
      <c r="F34">
        <v>7</v>
      </c>
      <c r="G34">
        <f t="shared" si="26"/>
        <v>0</v>
      </c>
      <c r="H34">
        <f t="shared" si="25"/>
        <v>1</v>
      </c>
      <c r="I34">
        <f t="shared" si="25"/>
        <v>0</v>
      </c>
      <c r="J34">
        <f t="shared" si="25"/>
        <v>1</v>
      </c>
      <c r="K34">
        <f t="shared" si="25"/>
        <v>0</v>
      </c>
      <c r="L34">
        <f t="shared" si="25"/>
        <v>0</v>
      </c>
      <c r="M34">
        <f t="shared" si="25"/>
        <v>0</v>
      </c>
      <c r="N34">
        <f t="shared" si="25"/>
        <v>0</v>
      </c>
      <c r="O34">
        <f t="shared" si="25"/>
        <v>0</v>
      </c>
    </row>
    <row r="35" spans="2:15" x14ac:dyDescent="0.25">
      <c r="B35" s="5"/>
      <c r="C35" s="5"/>
      <c r="D35" s="6"/>
      <c r="E35" s="5"/>
      <c r="F35">
        <v>8</v>
      </c>
      <c r="G35">
        <f t="shared" si="26"/>
        <v>0</v>
      </c>
      <c r="H35">
        <f t="shared" si="25"/>
        <v>0</v>
      </c>
      <c r="I35">
        <f t="shared" si="25"/>
        <v>2</v>
      </c>
      <c r="J35">
        <f t="shared" si="25"/>
        <v>0</v>
      </c>
      <c r="K35">
        <f t="shared" si="25"/>
        <v>0</v>
      </c>
      <c r="L35">
        <f t="shared" si="25"/>
        <v>0</v>
      </c>
      <c r="M35">
        <f t="shared" si="25"/>
        <v>0</v>
      </c>
      <c r="N35">
        <f t="shared" si="25"/>
        <v>0</v>
      </c>
      <c r="O35">
        <f t="shared" si="25"/>
        <v>0</v>
      </c>
    </row>
    <row r="36" spans="2:15" x14ac:dyDescent="0.25">
      <c r="F36">
        <v>9</v>
      </c>
      <c r="G36">
        <f t="shared" si="26"/>
        <v>1</v>
      </c>
      <c r="H36">
        <f t="shared" si="25"/>
        <v>2</v>
      </c>
      <c r="I36">
        <f t="shared" si="25"/>
        <v>2</v>
      </c>
      <c r="J36">
        <f t="shared" si="25"/>
        <v>0</v>
      </c>
      <c r="K36">
        <f t="shared" si="25"/>
        <v>0</v>
      </c>
      <c r="L36">
        <f t="shared" si="25"/>
        <v>0</v>
      </c>
      <c r="M36">
        <f t="shared" si="25"/>
        <v>0</v>
      </c>
      <c r="N36">
        <f t="shared" si="25"/>
        <v>0</v>
      </c>
      <c r="O36">
        <f t="shared" si="25"/>
        <v>0</v>
      </c>
    </row>
    <row r="56" spans="8:13" x14ac:dyDescent="0.25">
      <c r="H56" s="36"/>
      <c r="I56" s="36"/>
      <c r="J56" s="36"/>
      <c r="K56" s="36"/>
      <c r="L56" s="36"/>
      <c r="M56" s="36"/>
    </row>
  </sheetData>
  <mergeCells count="7">
    <mergeCell ref="H56:J56"/>
    <mergeCell ref="K56:M56"/>
    <mergeCell ref="D2:F2"/>
    <mergeCell ref="G2:I2"/>
    <mergeCell ref="J2:L2"/>
    <mergeCell ref="M2:O2"/>
    <mergeCell ref="G14:I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4A36-C809-40FD-9EF6-EA1150BFBBE7}">
  <dimension ref="B1:O77"/>
  <sheetViews>
    <sheetView topLeftCell="A34" zoomScale="70" zoomScaleNormal="70" workbookViewId="0">
      <selection activeCell="C59" sqref="C59"/>
    </sheetView>
  </sheetViews>
  <sheetFormatPr defaultRowHeight="15" x14ac:dyDescent="0.25"/>
  <cols>
    <col min="2" max="2" width="13.7109375" customWidth="1"/>
    <col min="3" max="3" width="12.7109375" customWidth="1"/>
    <col min="7" max="8" width="12.7109375" bestFit="1" customWidth="1"/>
    <col min="10" max="10" width="17.140625" customWidth="1"/>
    <col min="13" max="13" width="11" customWidth="1"/>
  </cols>
  <sheetData>
    <row r="1" spans="2:15" ht="15.75" thickBot="1" x14ac:dyDescent="0.3"/>
    <row r="2" spans="2:15" ht="15.75" thickBot="1" x14ac:dyDescent="0.3">
      <c r="B2" s="1" t="s">
        <v>0</v>
      </c>
      <c r="C2" s="1"/>
      <c r="D2" s="33" t="s">
        <v>16</v>
      </c>
      <c r="E2" s="34"/>
      <c r="F2" s="34"/>
      <c r="G2" s="35" t="s">
        <v>17</v>
      </c>
      <c r="H2" s="35"/>
      <c r="I2" s="35"/>
      <c r="J2" s="35" t="s">
        <v>18</v>
      </c>
      <c r="K2" s="35"/>
      <c r="L2" s="35"/>
      <c r="M2" s="35" t="s">
        <v>19</v>
      </c>
      <c r="N2" s="35"/>
      <c r="O2" s="35"/>
    </row>
    <row r="3" spans="2:15" ht="39.75" thickBot="1" x14ac:dyDescent="0.3">
      <c r="B3" s="1" t="s">
        <v>1</v>
      </c>
      <c r="C3" s="1" t="s">
        <v>2</v>
      </c>
      <c r="D3" s="1" t="s">
        <v>3</v>
      </c>
      <c r="E3" s="1" t="s">
        <v>210</v>
      </c>
      <c r="F3" s="8" t="s">
        <v>4</v>
      </c>
      <c r="G3" s="1" t="s">
        <v>3</v>
      </c>
      <c r="H3" s="1" t="s">
        <v>210</v>
      </c>
      <c r="I3" s="8" t="s">
        <v>4</v>
      </c>
      <c r="J3" s="1" t="s">
        <v>3</v>
      </c>
      <c r="K3" s="1" t="s">
        <v>210</v>
      </c>
      <c r="L3" s="8" t="s">
        <v>4</v>
      </c>
      <c r="M3" s="1" t="s">
        <v>3</v>
      </c>
      <c r="N3" s="1" t="s">
        <v>210</v>
      </c>
      <c r="O3" s="8" t="s">
        <v>4</v>
      </c>
    </row>
    <row r="4" spans="2:15" ht="15.75" thickBot="1" x14ac:dyDescent="0.3">
      <c r="B4" s="1" t="s">
        <v>5</v>
      </c>
      <c r="C4" s="1" t="s">
        <v>6</v>
      </c>
      <c r="D4" s="2">
        <v>130</v>
      </c>
      <c r="E4" s="2">
        <v>800</v>
      </c>
      <c r="F4" s="9">
        <v>930</v>
      </c>
      <c r="G4" s="5">
        <f>MOD(D4, 10)</f>
        <v>0</v>
      </c>
      <c r="H4" s="5">
        <f t="shared" ref="H4:I4" si="0">MOD(E4, 10)</f>
        <v>0</v>
      </c>
      <c r="I4" s="5">
        <f t="shared" si="0"/>
        <v>0</v>
      </c>
      <c r="J4">
        <f>MOD(INT(D4/10),10)</f>
        <v>3</v>
      </c>
      <c r="K4">
        <f t="shared" ref="K4:L4" si="1">MOD(INT(E4/10),10)</f>
        <v>0</v>
      </c>
      <c r="L4">
        <f t="shared" si="1"/>
        <v>3</v>
      </c>
      <c r="M4">
        <f>MOD(INT(D4/100),10)</f>
        <v>1</v>
      </c>
      <c r="N4">
        <f t="shared" ref="N4:O4" si="2">MOD(INT(E4/100),10)</f>
        <v>8</v>
      </c>
      <c r="O4">
        <f t="shared" si="2"/>
        <v>9</v>
      </c>
    </row>
    <row r="5" spans="2:15" ht="15.75" thickBot="1" x14ac:dyDescent="0.3">
      <c r="B5" s="1" t="s">
        <v>6</v>
      </c>
      <c r="C5" s="1" t="s">
        <v>7</v>
      </c>
      <c r="D5" s="2">
        <v>105</v>
      </c>
      <c r="E5" s="2">
        <v>807</v>
      </c>
      <c r="F5" s="9">
        <v>912</v>
      </c>
      <c r="G5" s="5">
        <f t="shared" ref="G5:G22" si="3">MOD(D5, 10)</f>
        <v>5</v>
      </c>
      <c r="H5" s="5">
        <f t="shared" ref="H5:H22" si="4">MOD(E5, 10)</f>
        <v>7</v>
      </c>
      <c r="I5" s="5">
        <f t="shared" ref="I5:I22" si="5">MOD(F5, 10)</f>
        <v>2</v>
      </c>
      <c r="J5">
        <f t="shared" ref="J5:J22" si="6">MOD(INT(D5/10),10)</f>
        <v>0</v>
      </c>
      <c r="K5">
        <f t="shared" ref="K5:K22" si="7">MOD(INT(E5/10),10)</f>
        <v>0</v>
      </c>
      <c r="L5">
        <f t="shared" ref="L5:L22" si="8">MOD(INT(F5/10),10)</f>
        <v>1</v>
      </c>
      <c r="M5">
        <f t="shared" ref="M5:M22" si="9">MOD(INT(D5/100),10)</f>
        <v>1</v>
      </c>
      <c r="N5">
        <f t="shared" ref="N5:N22" si="10">MOD(INT(E5/100),10)</f>
        <v>8</v>
      </c>
      <c r="O5">
        <f t="shared" ref="O5:O22" si="11">MOD(INT(F5/100),10)</f>
        <v>9</v>
      </c>
    </row>
    <row r="6" spans="2:15" ht="15.75" thickBot="1" x14ac:dyDescent="0.3">
      <c r="B6" s="1" t="s">
        <v>7</v>
      </c>
      <c r="C6" s="1" t="s">
        <v>8</v>
      </c>
      <c r="D6" s="2">
        <v>90</v>
      </c>
      <c r="E6" s="2">
        <v>815</v>
      </c>
      <c r="F6" s="9">
        <v>905</v>
      </c>
      <c r="G6" s="5">
        <f t="shared" si="3"/>
        <v>0</v>
      </c>
      <c r="H6" s="5">
        <f t="shared" si="4"/>
        <v>5</v>
      </c>
      <c r="I6" s="5">
        <f t="shared" si="5"/>
        <v>5</v>
      </c>
      <c r="J6">
        <f t="shared" si="6"/>
        <v>9</v>
      </c>
      <c r="K6">
        <f t="shared" si="7"/>
        <v>1</v>
      </c>
      <c r="L6">
        <f t="shared" si="8"/>
        <v>0</v>
      </c>
      <c r="M6">
        <f t="shared" si="9"/>
        <v>0</v>
      </c>
      <c r="N6">
        <f t="shared" si="10"/>
        <v>8</v>
      </c>
      <c r="O6">
        <f t="shared" si="11"/>
        <v>9</v>
      </c>
    </row>
    <row r="7" spans="2:15" ht="15.75" thickBot="1" x14ac:dyDescent="0.3">
      <c r="B7" s="1" t="s">
        <v>8</v>
      </c>
      <c r="C7" s="1" t="s">
        <v>9</v>
      </c>
      <c r="D7" s="2">
        <v>70</v>
      </c>
      <c r="E7" s="2">
        <v>840</v>
      </c>
      <c r="F7" s="9">
        <v>910</v>
      </c>
      <c r="G7" s="5">
        <f t="shared" si="3"/>
        <v>0</v>
      </c>
      <c r="H7" s="5">
        <f t="shared" si="4"/>
        <v>0</v>
      </c>
      <c r="I7" s="5">
        <f t="shared" si="5"/>
        <v>0</v>
      </c>
      <c r="J7">
        <f t="shared" si="6"/>
        <v>7</v>
      </c>
      <c r="K7">
        <f t="shared" si="7"/>
        <v>4</v>
      </c>
      <c r="L7">
        <f t="shared" si="8"/>
        <v>1</v>
      </c>
      <c r="M7">
        <f t="shared" si="9"/>
        <v>0</v>
      </c>
      <c r="N7">
        <f t="shared" si="10"/>
        <v>8</v>
      </c>
      <c r="O7">
        <f t="shared" si="11"/>
        <v>9</v>
      </c>
    </row>
    <row r="8" spans="2:15" ht="15.75" thickBot="1" x14ac:dyDescent="0.3">
      <c r="B8" s="1" t="s">
        <v>9</v>
      </c>
      <c r="C8" s="1" t="s">
        <v>10</v>
      </c>
      <c r="D8" s="2">
        <v>65</v>
      </c>
      <c r="E8" s="2">
        <v>830</v>
      </c>
      <c r="F8" s="9">
        <v>895</v>
      </c>
      <c r="G8" s="5">
        <f t="shared" si="3"/>
        <v>5</v>
      </c>
      <c r="H8" s="5">
        <f t="shared" si="4"/>
        <v>0</v>
      </c>
      <c r="I8" s="5">
        <f t="shared" si="5"/>
        <v>5</v>
      </c>
      <c r="J8">
        <f t="shared" si="6"/>
        <v>6</v>
      </c>
      <c r="K8">
        <f t="shared" si="7"/>
        <v>3</v>
      </c>
      <c r="L8">
        <f t="shared" si="8"/>
        <v>9</v>
      </c>
      <c r="M8">
        <f t="shared" si="9"/>
        <v>0</v>
      </c>
      <c r="N8">
        <f t="shared" si="10"/>
        <v>8</v>
      </c>
      <c r="O8">
        <f t="shared" si="11"/>
        <v>8</v>
      </c>
    </row>
    <row r="9" spans="2:15" ht="15.75" thickBot="1" x14ac:dyDescent="0.3">
      <c r="B9" s="1" t="s">
        <v>10</v>
      </c>
      <c r="C9" s="1" t="s">
        <v>11</v>
      </c>
      <c r="D9" s="2">
        <v>162</v>
      </c>
      <c r="E9" s="2">
        <v>800</v>
      </c>
      <c r="F9" s="9">
        <v>962</v>
      </c>
      <c r="G9" s="5">
        <f t="shared" si="3"/>
        <v>2</v>
      </c>
      <c r="H9" s="5">
        <f t="shared" si="4"/>
        <v>0</v>
      </c>
      <c r="I9" s="5">
        <f t="shared" si="5"/>
        <v>2</v>
      </c>
      <c r="J9">
        <f t="shared" si="6"/>
        <v>6</v>
      </c>
      <c r="K9">
        <f t="shared" si="7"/>
        <v>0</v>
      </c>
      <c r="L9">
        <f t="shared" si="8"/>
        <v>6</v>
      </c>
      <c r="M9">
        <f t="shared" si="9"/>
        <v>1</v>
      </c>
      <c r="N9">
        <f t="shared" si="10"/>
        <v>8</v>
      </c>
      <c r="O9">
        <f t="shared" si="11"/>
        <v>9</v>
      </c>
    </row>
    <row r="10" spans="2:15" ht="15.75" thickBot="1" x14ac:dyDescent="0.3">
      <c r="B10" s="1" t="s">
        <v>11</v>
      </c>
      <c r="C10" s="1" t="s">
        <v>12</v>
      </c>
      <c r="D10" s="2">
        <v>65</v>
      </c>
      <c r="E10" s="2">
        <v>300</v>
      </c>
      <c r="F10" s="9">
        <v>365</v>
      </c>
      <c r="G10" s="5">
        <f t="shared" si="3"/>
        <v>5</v>
      </c>
      <c r="H10" s="5">
        <f t="shared" si="4"/>
        <v>0</v>
      </c>
      <c r="I10" s="5">
        <f t="shared" si="5"/>
        <v>5</v>
      </c>
      <c r="J10">
        <f t="shared" si="6"/>
        <v>6</v>
      </c>
      <c r="K10">
        <f t="shared" si="7"/>
        <v>0</v>
      </c>
      <c r="L10">
        <f t="shared" si="8"/>
        <v>6</v>
      </c>
      <c r="M10">
        <f t="shared" si="9"/>
        <v>0</v>
      </c>
      <c r="N10">
        <f t="shared" si="10"/>
        <v>3</v>
      </c>
      <c r="O10">
        <f t="shared" si="11"/>
        <v>3</v>
      </c>
    </row>
    <row r="11" spans="2:15" ht="15.75" thickBot="1" x14ac:dyDescent="0.3">
      <c r="B11" s="1" t="s">
        <v>12</v>
      </c>
      <c r="C11" s="1" t="s">
        <v>13</v>
      </c>
      <c r="D11" s="2">
        <v>187</v>
      </c>
      <c r="E11" s="2">
        <v>782</v>
      </c>
      <c r="F11" s="9">
        <v>969</v>
      </c>
      <c r="G11" s="5">
        <f t="shared" si="3"/>
        <v>7</v>
      </c>
      <c r="H11" s="5">
        <f t="shared" si="4"/>
        <v>2</v>
      </c>
      <c r="I11" s="5">
        <f t="shared" si="5"/>
        <v>9</v>
      </c>
      <c r="J11">
        <f t="shared" si="6"/>
        <v>8</v>
      </c>
      <c r="K11">
        <f t="shared" si="7"/>
        <v>8</v>
      </c>
      <c r="L11">
        <f t="shared" si="8"/>
        <v>6</v>
      </c>
      <c r="M11">
        <f t="shared" si="9"/>
        <v>1</v>
      </c>
      <c r="N11">
        <f t="shared" si="10"/>
        <v>7</v>
      </c>
      <c r="O11">
        <f t="shared" si="11"/>
        <v>9</v>
      </c>
    </row>
    <row r="12" spans="2:15" ht="15.75" thickBot="1" x14ac:dyDescent="0.3">
      <c r="B12" s="1" t="s">
        <v>13</v>
      </c>
      <c r="C12" s="1" t="s">
        <v>14</v>
      </c>
      <c r="D12" s="2">
        <v>182</v>
      </c>
      <c r="E12" s="2">
        <v>595</v>
      </c>
      <c r="F12" s="9">
        <v>777</v>
      </c>
      <c r="G12" s="5">
        <f t="shared" si="3"/>
        <v>2</v>
      </c>
      <c r="H12" s="5">
        <f t="shared" si="4"/>
        <v>5</v>
      </c>
      <c r="I12" s="5">
        <f t="shared" si="5"/>
        <v>7</v>
      </c>
      <c r="J12">
        <f t="shared" si="6"/>
        <v>8</v>
      </c>
      <c r="K12">
        <f t="shared" si="7"/>
        <v>9</v>
      </c>
      <c r="L12">
        <f t="shared" si="8"/>
        <v>7</v>
      </c>
      <c r="M12">
        <f t="shared" si="9"/>
        <v>1</v>
      </c>
      <c r="N12">
        <f t="shared" si="10"/>
        <v>5</v>
      </c>
      <c r="O12">
        <f t="shared" si="11"/>
        <v>7</v>
      </c>
    </row>
    <row r="13" spans="2:15" ht="15.75" thickBot="1" x14ac:dyDescent="0.3">
      <c r="B13" s="3" t="s">
        <v>14</v>
      </c>
      <c r="C13" s="3" t="s">
        <v>15</v>
      </c>
      <c r="D13" s="4">
        <v>500</v>
      </c>
      <c r="E13" s="3">
        <v>450</v>
      </c>
      <c r="F13" s="10">
        <v>950</v>
      </c>
      <c r="G13" s="5">
        <f t="shared" si="3"/>
        <v>0</v>
      </c>
      <c r="H13" s="5">
        <f t="shared" si="4"/>
        <v>0</v>
      </c>
      <c r="I13" s="5">
        <f t="shared" si="5"/>
        <v>0</v>
      </c>
      <c r="J13">
        <f t="shared" si="6"/>
        <v>0</v>
      </c>
      <c r="K13">
        <f t="shared" si="7"/>
        <v>5</v>
      </c>
      <c r="L13">
        <f t="shared" si="8"/>
        <v>5</v>
      </c>
      <c r="M13">
        <f t="shared" si="9"/>
        <v>5</v>
      </c>
      <c r="N13">
        <f t="shared" si="10"/>
        <v>4</v>
      </c>
      <c r="O13">
        <f t="shared" si="11"/>
        <v>9</v>
      </c>
    </row>
    <row r="14" spans="2:15" ht="15.75" thickBot="1" x14ac:dyDescent="0.3">
      <c r="B14" s="1" t="s">
        <v>15</v>
      </c>
      <c r="C14" s="1" t="s">
        <v>22</v>
      </c>
      <c r="D14" s="2">
        <v>100</v>
      </c>
      <c r="E14" s="2">
        <v>500</v>
      </c>
      <c r="F14" s="9">
        <f>D14+E14</f>
        <v>600</v>
      </c>
      <c r="G14" s="5">
        <f t="shared" si="3"/>
        <v>0</v>
      </c>
      <c r="H14" s="5">
        <f t="shared" si="4"/>
        <v>0</v>
      </c>
      <c r="I14" s="5">
        <f t="shared" si="5"/>
        <v>0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1</v>
      </c>
      <c r="N14">
        <f t="shared" si="10"/>
        <v>5</v>
      </c>
      <c r="O14">
        <f t="shared" si="11"/>
        <v>6</v>
      </c>
    </row>
    <row r="15" spans="2:15" ht="15.75" thickBot="1" x14ac:dyDescent="0.3">
      <c r="B15" s="1" t="s">
        <v>22</v>
      </c>
      <c r="C15" s="1" t="s">
        <v>23</v>
      </c>
      <c r="D15" s="2">
        <v>35</v>
      </c>
      <c r="E15" s="2">
        <v>403</v>
      </c>
      <c r="F15" s="9">
        <f t="shared" ref="F15:F21" si="12">D15+E15</f>
        <v>438</v>
      </c>
      <c r="G15" s="5">
        <f t="shared" si="3"/>
        <v>5</v>
      </c>
      <c r="H15" s="5">
        <f t="shared" si="4"/>
        <v>3</v>
      </c>
      <c r="I15" s="5">
        <f t="shared" si="5"/>
        <v>8</v>
      </c>
      <c r="J15">
        <f t="shared" si="6"/>
        <v>3</v>
      </c>
      <c r="K15">
        <f t="shared" si="7"/>
        <v>0</v>
      </c>
      <c r="L15">
        <f t="shared" si="8"/>
        <v>3</v>
      </c>
      <c r="M15">
        <f t="shared" si="9"/>
        <v>0</v>
      </c>
      <c r="N15">
        <f t="shared" si="10"/>
        <v>4</v>
      </c>
      <c r="O15">
        <f t="shared" si="11"/>
        <v>4</v>
      </c>
    </row>
    <row r="16" spans="2:15" ht="15.75" thickBot="1" x14ac:dyDescent="0.3">
      <c r="B16" s="1" t="s">
        <v>23</v>
      </c>
      <c r="C16" s="1" t="s">
        <v>24</v>
      </c>
      <c r="D16" s="2">
        <v>30</v>
      </c>
      <c r="E16" s="2">
        <v>403</v>
      </c>
      <c r="F16" s="9">
        <f t="shared" si="12"/>
        <v>433</v>
      </c>
      <c r="G16" s="5">
        <f t="shared" si="3"/>
        <v>0</v>
      </c>
      <c r="H16" s="5">
        <f t="shared" si="4"/>
        <v>3</v>
      </c>
      <c r="I16" s="5">
        <f t="shared" si="5"/>
        <v>3</v>
      </c>
      <c r="J16">
        <f t="shared" si="6"/>
        <v>3</v>
      </c>
      <c r="K16">
        <f t="shared" si="7"/>
        <v>0</v>
      </c>
      <c r="L16">
        <f t="shared" si="8"/>
        <v>3</v>
      </c>
      <c r="M16">
        <f t="shared" si="9"/>
        <v>0</v>
      </c>
      <c r="N16">
        <f t="shared" si="10"/>
        <v>4</v>
      </c>
      <c r="O16">
        <f t="shared" si="11"/>
        <v>4</v>
      </c>
    </row>
    <row r="17" spans="2:15" ht="15.75" thickBot="1" x14ac:dyDescent="0.3">
      <c r="B17" s="1" t="s">
        <v>24</v>
      </c>
      <c r="C17" s="1" t="s">
        <v>25</v>
      </c>
      <c r="D17" s="2">
        <v>34</v>
      </c>
      <c r="E17" s="2">
        <v>430</v>
      </c>
      <c r="F17" s="9">
        <f t="shared" si="12"/>
        <v>464</v>
      </c>
      <c r="G17" s="5">
        <f t="shared" si="3"/>
        <v>4</v>
      </c>
      <c r="H17" s="5">
        <f t="shared" si="4"/>
        <v>0</v>
      </c>
      <c r="I17" s="5">
        <f t="shared" si="5"/>
        <v>4</v>
      </c>
      <c r="J17">
        <f t="shared" si="6"/>
        <v>3</v>
      </c>
      <c r="K17">
        <f t="shared" si="7"/>
        <v>3</v>
      </c>
      <c r="L17">
        <f t="shared" si="8"/>
        <v>6</v>
      </c>
      <c r="M17">
        <f t="shared" si="9"/>
        <v>0</v>
      </c>
      <c r="N17">
        <f t="shared" si="10"/>
        <v>4</v>
      </c>
      <c r="O17">
        <f t="shared" si="11"/>
        <v>4</v>
      </c>
    </row>
    <row r="18" spans="2:15" ht="15.75" thickBot="1" x14ac:dyDescent="0.3">
      <c r="B18" s="1" t="s">
        <v>25</v>
      </c>
      <c r="C18" s="1" t="s">
        <v>26</v>
      </c>
      <c r="D18" s="2">
        <v>30</v>
      </c>
      <c r="E18" s="2">
        <v>209</v>
      </c>
      <c r="F18" s="9">
        <f t="shared" si="12"/>
        <v>239</v>
      </c>
      <c r="G18" s="5">
        <f t="shared" si="3"/>
        <v>0</v>
      </c>
      <c r="H18" s="5">
        <f t="shared" si="4"/>
        <v>9</v>
      </c>
      <c r="I18" s="5">
        <f t="shared" si="5"/>
        <v>9</v>
      </c>
      <c r="J18">
        <f t="shared" si="6"/>
        <v>3</v>
      </c>
      <c r="K18">
        <f t="shared" si="7"/>
        <v>0</v>
      </c>
      <c r="L18">
        <f t="shared" si="8"/>
        <v>3</v>
      </c>
      <c r="M18">
        <f t="shared" si="9"/>
        <v>0</v>
      </c>
      <c r="N18">
        <f t="shared" si="10"/>
        <v>2</v>
      </c>
      <c r="O18">
        <f t="shared" si="11"/>
        <v>2</v>
      </c>
    </row>
    <row r="19" spans="2:15" ht="15.75" thickBot="1" x14ac:dyDescent="0.3">
      <c r="B19" s="1" t="s">
        <v>26</v>
      </c>
      <c r="C19" s="1" t="s">
        <v>27</v>
      </c>
      <c r="D19" s="2">
        <v>32</v>
      </c>
      <c r="E19" s="2">
        <v>207</v>
      </c>
      <c r="F19" s="9">
        <f t="shared" si="12"/>
        <v>239</v>
      </c>
      <c r="G19" s="5">
        <f t="shared" si="3"/>
        <v>2</v>
      </c>
      <c r="H19" s="5">
        <f t="shared" si="4"/>
        <v>7</v>
      </c>
      <c r="I19" s="5">
        <f t="shared" si="5"/>
        <v>9</v>
      </c>
      <c r="J19">
        <f t="shared" si="6"/>
        <v>3</v>
      </c>
      <c r="K19">
        <f t="shared" si="7"/>
        <v>0</v>
      </c>
      <c r="L19">
        <f t="shared" si="8"/>
        <v>3</v>
      </c>
      <c r="M19">
        <f t="shared" si="9"/>
        <v>0</v>
      </c>
      <c r="N19">
        <f t="shared" si="10"/>
        <v>2</v>
      </c>
      <c r="O19">
        <f t="shared" si="11"/>
        <v>2</v>
      </c>
    </row>
    <row r="20" spans="2:15" ht="15.75" thickBot="1" x14ac:dyDescent="0.3">
      <c r="B20" s="1" t="s">
        <v>27</v>
      </c>
      <c r="C20" s="1" t="s">
        <v>28</v>
      </c>
      <c r="D20" s="2">
        <v>30</v>
      </c>
      <c r="E20" s="2">
        <v>200</v>
      </c>
      <c r="F20" s="9">
        <f t="shared" si="12"/>
        <v>230</v>
      </c>
      <c r="G20" s="5">
        <f t="shared" si="3"/>
        <v>0</v>
      </c>
      <c r="H20" s="5">
        <f t="shared" si="4"/>
        <v>0</v>
      </c>
      <c r="I20" s="5">
        <f t="shared" si="5"/>
        <v>0</v>
      </c>
      <c r="J20">
        <f t="shared" si="6"/>
        <v>3</v>
      </c>
      <c r="K20">
        <f t="shared" si="7"/>
        <v>0</v>
      </c>
      <c r="L20">
        <f t="shared" si="8"/>
        <v>3</v>
      </c>
      <c r="M20">
        <f t="shared" si="9"/>
        <v>0</v>
      </c>
      <c r="N20">
        <f t="shared" si="10"/>
        <v>2</v>
      </c>
      <c r="O20">
        <f t="shared" si="11"/>
        <v>2</v>
      </c>
    </row>
    <row r="21" spans="2:15" ht="15.75" thickBot="1" x14ac:dyDescent="0.3">
      <c r="B21" s="1" t="s">
        <v>28</v>
      </c>
      <c r="C21" s="1" t="s">
        <v>29</v>
      </c>
      <c r="D21" s="2">
        <v>29</v>
      </c>
      <c r="E21" s="2">
        <v>119</v>
      </c>
      <c r="F21" s="9">
        <f t="shared" si="12"/>
        <v>148</v>
      </c>
      <c r="G21" s="5">
        <f t="shared" si="3"/>
        <v>9</v>
      </c>
      <c r="H21" s="5">
        <f t="shared" si="4"/>
        <v>9</v>
      </c>
      <c r="I21" s="5">
        <f t="shared" si="5"/>
        <v>8</v>
      </c>
      <c r="J21">
        <f t="shared" si="6"/>
        <v>2</v>
      </c>
      <c r="K21">
        <f t="shared" si="7"/>
        <v>1</v>
      </c>
      <c r="L21">
        <f t="shared" si="8"/>
        <v>4</v>
      </c>
      <c r="M21">
        <f t="shared" si="9"/>
        <v>0</v>
      </c>
      <c r="N21">
        <f t="shared" si="10"/>
        <v>1</v>
      </c>
      <c r="O21">
        <f t="shared" si="11"/>
        <v>1</v>
      </c>
    </row>
    <row r="22" spans="2:15" ht="15.75" thickBot="1" x14ac:dyDescent="0.3">
      <c r="B22" s="1" t="s">
        <v>29</v>
      </c>
      <c r="C22" s="1" t="s">
        <v>30</v>
      </c>
      <c r="D22" s="2">
        <v>70</v>
      </c>
      <c r="E22" s="2">
        <f>F22-D22</f>
        <v>135</v>
      </c>
      <c r="F22" s="9">
        <v>205</v>
      </c>
      <c r="G22" s="5">
        <f t="shared" si="3"/>
        <v>0</v>
      </c>
      <c r="H22" s="5">
        <f t="shared" si="4"/>
        <v>5</v>
      </c>
      <c r="I22" s="5">
        <f t="shared" si="5"/>
        <v>5</v>
      </c>
      <c r="J22">
        <f t="shared" si="6"/>
        <v>7</v>
      </c>
      <c r="K22">
        <f t="shared" si="7"/>
        <v>3</v>
      </c>
      <c r="L22">
        <f t="shared" si="8"/>
        <v>0</v>
      </c>
      <c r="M22">
        <f t="shared" si="9"/>
        <v>0</v>
      </c>
      <c r="N22">
        <f t="shared" si="10"/>
        <v>1</v>
      </c>
      <c r="O22">
        <f t="shared" si="11"/>
        <v>2</v>
      </c>
    </row>
    <row r="23" spans="2:15" x14ac:dyDescent="0.25">
      <c r="B23" s="5"/>
      <c r="C23" s="5" t="s">
        <v>31</v>
      </c>
      <c r="D23" s="6">
        <f>SUM(D14:D22)</f>
        <v>390</v>
      </c>
      <c r="E23" s="5">
        <f>SUM(E14:E22)</f>
        <v>2606</v>
      </c>
      <c r="F23" s="6">
        <f>SUM(F14:F22)</f>
        <v>2996</v>
      </c>
      <c r="G23" s="5"/>
      <c r="H23" s="5"/>
      <c r="I23" s="5"/>
      <c r="J23" s="7"/>
      <c r="K23" s="5"/>
    </row>
    <row r="24" spans="2:15" ht="15.75" thickBot="1" x14ac:dyDescent="0.3">
      <c r="B24" s="5"/>
      <c r="C24" s="5"/>
      <c r="D24" s="6"/>
      <c r="E24" s="5"/>
      <c r="F24" s="6"/>
      <c r="G24" s="5" t="s">
        <v>209</v>
      </c>
      <c r="H24" s="5"/>
      <c r="I24" s="5"/>
      <c r="J24" s="7"/>
      <c r="K24" s="5"/>
    </row>
    <row r="25" spans="2:15" ht="39.75" thickBot="1" x14ac:dyDescent="0.3">
      <c r="B25" s="1" t="s">
        <v>1</v>
      </c>
      <c r="C25" s="1" t="s">
        <v>2</v>
      </c>
      <c r="D25" s="1" t="s">
        <v>3</v>
      </c>
      <c r="E25" s="1" t="s">
        <v>210</v>
      </c>
      <c r="F25" s="8" t="s">
        <v>4</v>
      </c>
      <c r="G25" s="1" t="s">
        <v>3</v>
      </c>
      <c r="H25" s="1" t="s">
        <v>210</v>
      </c>
      <c r="I25" s="8" t="s">
        <v>4</v>
      </c>
      <c r="J25" s="1" t="s">
        <v>3</v>
      </c>
      <c r="K25" s="1" t="s">
        <v>210</v>
      </c>
      <c r="L25" s="8" t="s">
        <v>4</v>
      </c>
      <c r="M25" s="1" t="s">
        <v>3</v>
      </c>
      <c r="N25" s="1" t="s">
        <v>210</v>
      </c>
      <c r="O25" s="8" t="s">
        <v>4</v>
      </c>
    </row>
    <row r="26" spans="2:15" ht="15.75" thickBot="1" x14ac:dyDescent="0.3">
      <c r="B26" s="1" t="s">
        <v>5</v>
      </c>
      <c r="C26" s="1" t="s">
        <v>6</v>
      </c>
      <c r="D26" s="2">
        <v>130</v>
      </c>
      <c r="E26" s="2">
        <v>800</v>
      </c>
      <c r="F26" s="9">
        <v>930</v>
      </c>
      <c r="G26" s="5">
        <f>MOD(D26, 10)</f>
        <v>0</v>
      </c>
      <c r="H26" s="5">
        <f t="shared" ref="H26" si="13">MOD(E26, 10)</f>
        <v>0</v>
      </c>
      <c r="I26" s="5">
        <f t="shared" ref="I26" si="14">MOD(F26, 10)</f>
        <v>0</v>
      </c>
      <c r="J26">
        <f>MOD(INT(D26/10),10)</f>
        <v>3</v>
      </c>
      <c r="K26">
        <f t="shared" ref="K26" si="15">MOD(INT(E26/10),10)</f>
        <v>0</v>
      </c>
      <c r="L26">
        <f t="shared" ref="L26" si="16">MOD(INT(F26/10),10)</f>
        <v>3</v>
      </c>
      <c r="M26">
        <f>MOD(INT(D26/100),10)</f>
        <v>1</v>
      </c>
      <c r="N26">
        <f t="shared" ref="N26" si="17">MOD(INT(E26/100),10)</f>
        <v>8</v>
      </c>
      <c r="O26">
        <f t="shared" ref="O26" si="18">MOD(INT(F26/100),10)</f>
        <v>9</v>
      </c>
    </row>
    <row r="27" spans="2:15" ht="15.75" thickBot="1" x14ac:dyDescent="0.3">
      <c r="B27" s="1" t="s">
        <v>6</v>
      </c>
      <c r="C27" s="1" t="s">
        <v>7</v>
      </c>
      <c r="D27" s="2">
        <v>105</v>
      </c>
      <c r="E27" s="2">
        <v>807</v>
      </c>
      <c r="F27" s="9">
        <v>912</v>
      </c>
      <c r="G27" s="5">
        <f t="shared" ref="G27:G44" si="19">MOD(D27, 10)</f>
        <v>5</v>
      </c>
      <c r="H27" s="5">
        <f t="shared" ref="H27:H44" si="20">MOD(E27, 10)</f>
        <v>7</v>
      </c>
      <c r="I27" s="5">
        <f t="shared" ref="I27:I44" si="21">MOD(F27, 10)</f>
        <v>2</v>
      </c>
      <c r="J27">
        <f t="shared" ref="J27:J44" si="22">MOD(INT(D27/10),10)</f>
        <v>0</v>
      </c>
      <c r="K27">
        <f t="shared" ref="K27:K44" si="23">MOD(INT(E27/10),10)</f>
        <v>0</v>
      </c>
      <c r="L27">
        <f t="shared" ref="L27:L44" si="24">MOD(INT(F27/10),10)</f>
        <v>1</v>
      </c>
      <c r="M27">
        <f t="shared" ref="M27:M44" si="25">MOD(INT(D27/100),10)</f>
        <v>1</v>
      </c>
      <c r="N27">
        <f t="shared" ref="N27:N44" si="26">MOD(INT(E27/100),10)</f>
        <v>8</v>
      </c>
      <c r="O27">
        <f t="shared" ref="O27:O44" si="27">MOD(INT(F27/100),10)</f>
        <v>9</v>
      </c>
    </row>
    <row r="28" spans="2:15" ht="15.75" thickBot="1" x14ac:dyDescent="0.3">
      <c r="B28" s="1" t="s">
        <v>7</v>
      </c>
      <c r="C28" s="1" t="s">
        <v>8</v>
      </c>
      <c r="D28" s="2">
        <v>90</v>
      </c>
      <c r="E28" s="2">
        <v>815</v>
      </c>
      <c r="F28" s="9">
        <v>905</v>
      </c>
      <c r="G28" s="5">
        <f t="shared" si="19"/>
        <v>0</v>
      </c>
      <c r="H28" s="5">
        <f t="shared" si="20"/>
        <v>5</v>
      </c>
      <c r="I28" s="5">
        <f t="shared" si="21"/>
        <v>5</v>
      </c>
      <c r="J28">
        <f t="shared" si="22"/>
        <v>9</v>
      </c>
      <c r="K28">
        <f t="shared" si="23"/>
        <v>1</v>
      </c>
      <c r="L28">
        <f t="shared" si="24"/>
        <v>0</v>
      </c>
      <c r="M28">
        <f t="shared" si="25"/>
        <v>0</v>
      </c>
      <c r="N28">
        <f t="shared" si="26"/>
        <v>8</v>
      </c>
      <c r="O28">
        <f t="shared" si="27"/>
        <v>9</v>
      </c>
    </row>
    <row r="29" spans="2:15" ht="15.75" thickBot="1" x14ac:dyDescent="0.3">
      <c r="B29" s="1" t="s">
        <v>8</v>
      </c>
      <c r="C29" s="1" t="s">
        <v>9</v>
      </c>
      <c r="D29" s="2">
        <v>70</v>
      </c>
      <c r="E29" s="2">
        <v>840</v>
      </c>
      <c r="F29" s="9">
        <v>910</v>
      </c>
      <c r="G29" s="5">
        <f t="shared" si="19"/>
        <v>0</v>
      </c>
      <c r="H29" s="5">
        <f t="shared" si="20"/>
        <v>0</v>
      </c>
      <c r="I29" s="5">
        <f t="shared" si="21"/>
        <v>0</v>
      </c>
      <c r="J29">
        <f t="shared" si="22"/>
        <v>7</v>
      </c>
      <c r="K29">
        <f t="shared" si="23"/>
        <v>4</v>
      </c>
      <c r="L29">
        <f t="shared" si="24"/>
        <v>1</v>
      </c>
      <c r="M29">
        <f t="shared" si="25"/>
        <v>0</v>
      </c>
      <c r="N29">
        <f t="shared" si="26"/>
        <v>8</v>
      </c>
      <c r="O29">
        <f t="shared" si="27"/>
        <v>9</v>
      </c>
    </row>
    <row r="30" spans="2:15" ht="15.75" thickBot="1" x14ac:dyDescent="0.3">
      <c r="B30" s="1" t="s">
        <v>9</v>
      </c>
      <c r="C30" s="1" t="s">
        <v>10</v>
      </c>
      <c r="D30" s="2">
        <v>65</v>
      </c>
      <c r="E30" s="2">
        <v>830</v>
      </c>
      <c r="F30" s="9">
        <v>895</v>
      </c>
      <c r="G30" s="5">
        <f t="shared" si="19"/>
        <v>5</v>
      </c>
      <c r="H30" s="5">
        <f t="shared" si="20"/>
        <v>0</v>
      </c>
      <c r="I30" s="5">
        <f t="shared" si="21"/>
        <v>5</v>
      </c>
      <c r="J30">
        <f t="shared" si="22"/>
        <v>6</v>
      </c>
      <c r="K30">
        <f t="shared" si="23"/>
        <v>3</v>
      </c>
      <c r="L30">
        <f t="shared" si="24"/>
        <v>9</v>
      </c>
      <c r="M30">
        <f t="shared" si="25"/>
        <v>0</v>
      </c>
      <c r="N30">
        <f t="shared" si="26"/>
        <v>8</v>
      </c>
      <c r="O30">
        <f t="shared" si="27"/>
        <v>8</v>
      </c>
    </row>
    <row r="31" spans="2:15" ht="15.75" thickBot="1" x14ac:dyDescent="0.3">
      <c r="B31" s="1" t="s">
        <v>10</v>
      </c>
      <c r="C31" s="1" t="s">
        <v>11</v>
      </c>
      <c r="D31" s="2">
        <v>162</v>
      </c>
      <c r="E31" s="2">
        <v>800</v>
      </c>
      <c r="F31" s="9">
        <v>962</v>
      </c>
      <c r="G31" s="5">
        <f t="shared" si="19"/>
        <v>2</v>
      </c>
      <c r="H31" s="5">
        <f t="shared" si="20"/>
        <v>0</v>
      </c>
      <c r="I31" s="5">
        <f t="shared" si="21"/>
        <v>2</v>
      </c>
      <c r="J31">
        <f t="shared" si="22"/>
        <v>6</v>
      </c>
      <c r="K31">
        <f t="shared" si="23"/>
        <v>0</v>
      </c>
      <c r="L31">
        <f t="shared" si="24"/>
        <v>6</v>
      </c>
      <c r="M31">
        <f t="shared" si="25"/>
        <v>1</v>
      </c>
      <c r="N31">
        <f t="shared" si="26"/>
        <v>8</v>
      </c>
      <c r="O31">
        <f t="shared" si="27"/>
        <v>9</v>
      </c>
    </row>
    <row r="32" spans="2:15" ht="15.75" thickBot="1" x14ac:dyDescent="0.3">
      <c r="B32" s="1" t="s">
        <v>11</v>
      </c>
      <c r="C32" s="1" t="s">
        <v>12</v>
      </c>
      <c r="D32" s="2">
        <v>65</v>
      </c>
      <c r="E32" s="2">
        <v>300</v>
      </c>
      <c r="F32" s="9">
        <v>365</v>
      </c>
      <c r="G32" s="5">
        <f t="shared" si="19"/>
        <v>5</v>
      </c>
      <c r="H32" s="5">
        <f t="shared" si="20"/>
        <v>0</v>
      </c>
      <c r="I32" s="5">
        <f t="shared" si="21"/>
        <v>5</v>
      </c>
      <c r="J32">
        <f t="shared" si="22"/>
        <v>6</v>
      </c>
      <c r="K32">
        <f t="shared" si="23"/>
        <v>0</v>
      </c>
      <c r="L32">
        <f t="shared" si="24"/>
        <v>6</v>
      </c>
      <c r="M32">
        <f t="shared" si="25"/>
        <v>0</v>
      </c>
      <c r="N32">
        <f t="shared" si="26"/>
        <v>3</v>
      </c>
      <c r="O32">
        <f t="shared" si="27"/>
        <v>3</v>
      </c>
    </row>
    <row r="33" spans="2:15" ht="15.75" thickBot="1" x14ac:dyDescent="0.3">
      <c r="B33" s="1" t="s">
        <v>12</v>
      </c>
      <c r="C33" s="1" t="s">
        <v>13</v>
      </c>
      <c r="D33" s="2">
        <v>187</v>
      </c>
      <c r="E33" s="2">
        <v>782</v>
      </c>
      <c r="F33" s="9">
        <v>969</v>
      </c>
      <c r="G33" s="5">
        <f t="shared" si="19"/>
        <v>7</v>
      </c>
      <c r="H33" s="5">
        <f t="shared" si="20"/>
        <v>2</v>
      </c>
      <c r="I33" s="5">
        <f t="shared" si="21"/>
        <v>9</v>
      </c>
      <c r="J33">
        <f t="shared" si="22"/>
        <v>8</v>
      </c>
      <c r="K33">
        <f t="shared" si="23"/>
        <v>8</v>
      </c>
      <c r="L33">
        <f t="shared" si="24"/>
        <v>6</v>
      </c>
      <c r="M33">
        <f t="shared" si="25"/>
        <v>1</v>
      </c>
      <c r="N33">
        <f t="shared" si="26"/>
        <v>7</v>
      </c>
      <c r="O33">
        <f t="shared" si="27"/>
        <v>9</v>
      </c>
    </row>
    <row r="34" spans="2:15" ht="15.75" thickBot="1" x14ac:dyDescent="0.3">
      <c r="B34" s="1" t="s">
        <v>13</v>
      </c>
      <c r="C34" s="1" t="s">
        <v>14</v>
      </c>
      <c r="D34" s="2">
        <v>182</v>
      </c>
      <c r="E34" s="2">
        <v>595</v>
      </c>
      <c r="F34" s="9">
        <v>777</v>
      </c>
      <c r="G34" s="5">
        <f t="shared" si="19"/>
        <v>2</v>
      </c>
      <c r="H34" s="5">
        <f t="shared" si="20"/>
        <v>5</v>
      </c>
      <c r="I34" s="5">
        <f t="shared" si="21"/>
        <v>7</v>
      </c>
      <c r="J34">
        <f t="shared" si="22"/>
        <v>8</v>
      </c>
      <c r="K34">
        <f t="shared" si="23"/>
        <v>9</v>
      </c>
      <c r="L34">
        <f t="shared" si="24"/>
        <v>7</v>
      </c>
      <c r="M34">
        <f t="shared" si="25"/>
        <v>1</v>
      </c>
      <c r="N34">
        <f t="shared" si="26"/>
        <v>5</v>
      </c>
      <c r="O34">
        <f t="shared" si="27"/>
        <v>7</v>
      </c>
    </row>
    <row r="35" spans="2:15" ht="15.75" thickBot="1" x14ac:dyDescent="0.3">
      <c r="B35" s="3" t="s">
        <v>14</v>
      </c>
      <c r="C35" s="3" t="s">
        <v>15</v>
      </c>
      <c r="D35" s="4">
        <v>500</v>
      </c>
      <c r="E35" s="3"/>
      <c r="F35" s="10">
        <v>950</v>
      </c>
      <c r="G35" s="5">
        <f t="shared" si="19"/>
        <v>0</v>
      </c>
      <c r="H35" s="5"/>
      <c r="I35" s="5">
        <f t="shared" si="21"/>
        <v>0</v>
      </c>
      <c r="J35">
        <f t="shared" si="22"/>
        <v>0</v>
      </c>
      <c r="L35">
        <f t="shared" si="24"/>
        <v>5</v>
      </c>
      <c r="M35">
        <f t="shared" si="25"/>
        <v>5</v>
      </c>
      <c r="O35">
        <f t="shared" si="27"/>
        <v>9</v>
      </c>
    </row>
    <row r="36" spans="2:15" ht="15.75" thickBot="1" x14ac:dyDescent="0.3">
      <c r="B36" s="1" t="s">
        <v>15</v>
      </c>
      <c r="C36" s="1" t="s">
        <v>22</v>
      </c>
      <c r="D36" s="2">
        <v>100</v>
      </c>
      <c r="E36" s="2">
        <v>500</v>
      </c>
      <c r="F36" s="9"/>
      <c r="G36" s="5">
        <f t="shared" si="19"/>
        <v>0</v>
      </c>
      <c r="H36" s="5">
        <f t="shared" si="20"/>
        <v>0</v>
      </c>
      <c r="I36" s="5"/>
      <c r="J36">
        <f t="shared" si="22"/>
        <v>0</v>
      </c>
      <c r="K36">
        <f t="shared" si="23"/>
        <v>0</v>
      </c>
      <c r="M36">
        <f t="shared" si="25"/>
        <v>1</v>
      </c>
      <c r="N36">
        <f t="shared" si="26"/>
        <v>5</v>
      </c>
    </row>
    <row r="37" spans="2:15" ht="15.75" thickBot="1" x14ac:dyDescent="0.3">
      <c r="B37" s="1" t="s">
        <v>22</v>
      </c>
      <c r="C37" s="1" t="s">
        <v>23</v>
      </c>
      <c r="D37" s="2">
        <v>35</v>
      </c>
      <c r="E37" s="2">
        <v>403</v>
      </c>
      <c r="F37" s="9"/>
      <c r="G37" s="5">
        <f t="shared" si="19"/>
        <v>5</v>
      </c>
      <c r="H37" s="5">
        <f t="shared" si="20"/>
        <v>3</v>
      </c>
      <c r="I37" s="5"/>
      <c r="J37">
        <f t="shared" si="22"/>
        <v>3</v>
      </c>
      <c r="K37">
        <f t="shared" si="23"/>
        <v>0</v>
      </c>
      <c r="M37">
        <f t="shared" si="25"/>
        <v>0</v>
      </c>
      <c r="N37">
        <f t="shared" si="26"/>
        <v>4</v>
      </c>
    </row>
    <row r="38" spans="2:15" ht="15.75" thickBot="1" x14ac:dyDescent="0.3">
      <c r="B38" s="1" t="s">
        <v>23</v>
      </c>
      <c r="C38" s="1" t="s">
        <v>24</v>
      </c>
      <c r="D38" s="2">
        <v>30</v>
      </c>
      <c r="E38" s="2">
        <v>403</v>
      </c>
      <c r="F38" s="9"/>
      <c r="G38" s="5">
        <f t="shared" si="19"/>
        <v>0</v>
      </c>
      <c r="H38" s="5">
        <f t="shared" si="20"/>
        <v>3</v>
      </c>
      <c r="I38" s="5"/>
      <c r="J38">
        <f t="shared" si="22"/>
        <v>3</v>
      </c>
      <c r="K38">
        <f t="shared" si="23"/>
        <v>0</v>
      </c>
      <c r="M38">
        <f t="shared" si="25"/>
        <v>0</v>
      </c>
      <c r="N38">
        <f t="shared" si="26"/>
        <v>4</v>
      </c>
    </row>
    <row r="39" spans="2:15" ht="15.75" thickBot="1" x14ac:dyDescent="0.3">
      <c r="B39" s="1" t="s">
        <v>24</v>
      </c>
      <c r="C39" s="1" t="s">
        <v>25</v>
      </c>
      <c r="D39" s="2">
        <v>34</v>
      </c>
      <c r="E39" s="2">
        <v>430</v>
      </c>
      <c r="F39" s="9"/>
      <c r="G39" s="5">
        <f t="shared" si="19"/>
        <v>4</v>
      </c>
      <c r="H39" s="5">
        <f t="shared" si="20"/>
        <v>0</v>
      </c>
      <c r="I39" s="5"/>
      <c r="J39">
        <f t="shared" si="22"/>
        <v>3</v>
      </c>
      <c r="K39">
        <f t="shared" si="23"/>
        <v>3</v>
      </c>
      <c r="M39">
        <f t="shared" si="25"/>
        <v>0</v>
      </c>
      <c r="N39">
        <f t="shared" si="26"/>
        <v>4</v>
      </c>
    </row>
    <row r="40" spans="2:15" ht="15.75" thickBot="1" x14ac:dyDescent="0.3">
      <c r="B40" s="1" t="s">
        <v>25</v>
      </c>
      <c r="C40" s="1" t="s">
        <v>26</v>
      </c>
      <c r="D40" s="2">
        <v>30</v>
      </c>
      <c r="E40" s="2">
        <v>209</v>
      </c>
      <c r="F40" s="9"/>
      <c r="G40" s="5">
        <f t="shared" si="19"/>
        <v>0</v>
      </c>
      <c r="H40" s="5">
        <f t="shared" si="20"/>
        <v>9</v>
      </c>
      <c r="I40" s="5"/>
      <c r="J40">
        <f t="shared" si="22"/>
        <v>3</v>
      </c>
      <c r="K40">
        <f t="shared" si="23"/>
        <v>0</v>
      </c>
      <c r="M40">
        <f t="shared" si="25"/>
        <v>0</v>
      </c>
      <c r="N40">
        <f t="shared" si="26"/>
        <v>2</v>
      </c>
    </row>
    <row r="41" spans="2:15" ht="15.75" thickBot="1" x14ac:dyDescent="0.3">
      <c r="B41" s="1" t="s">
        <v>26</v>
      </c>
      <c r="C41" s="1" t="s">
        <v>27</v>
      </c>
      <c r="D41" s="2">
        <v>32</v>
      </c>
      <c r="E41" s="2">
        <v>207</v>
      </c>
      <c r="F41" s="9"/>
      <c r="G41" s="5">
        <f t="shared" si="19"/>
        <v>2</v>
      </c>
      <c r="H41" s="5">
        <f t="shared" si="20"/>
        <v>7</v>
      </c>
      <c r="I41" s="5"/>
      <c r="J41">
        <f t="shared" si="22"/>
        <v>3</v>
      </c>
      <c r="K41">
        <f t="shared" si="23"/>
        <v>0</v>
      </c>
      <c r="M41">
        <f t="shared" si="25"/>
        <v>0</v>
      </c>
      <c r="N41">
        <f t="shared" si="26"/>
        <v>2</v>
      </c>
    </row>
    <row r="42" spans="2:15" ht="15.75" thickBot="1" x14ac:dyDescent="0.3">
      <c r="B42" s="1" t="s">
        <v>27</v>
      </c>
      <c r="C42" s="1" t="s">
        <v>28</v>
      </c>
      <c r="D42" s="2">
        <v>30</v>
      </c>
      <c r="E42" s="2">
        <v>200</v>
      </c>
      <c r="F42" s="9"/>
      <c r="G42" s="5">
        <f t="shared" si="19"/>
        <v>0</v>
      </c>
      <c r="H42" s="5">
        <f t="shared" si="20"/>
        <v>0</v>
      </c>
      <c r="I42" s="5"/>
      <c r="J42">
        <f t="shared" si="22"/>
        <v>3</v>
      </c>
      <c r="K42">
        <f t="shared" si="23"/>
        <v>0</v>
      </c>
      <c r="M42">
        <f t="shared" si="25"/>
        <v>0</v>
      </c>
      <c r="N42">
        <f t="shared" si="26"/>
        <v>2</v>
      </c>
    </row>
    <row r="43" spans="2:15" ht="15.75" thickBot="1" x14ac:dyDescent="0.3">
      <c r="B43" s="1" t="s">
        <v>28</v>
      </c>
      <c r="C43" s="1" t="s">
        <v>29</v>
      </c>
      <c r="D43" s="2">
        <v>29</v>
      </c>
      <c r="E43" s="2">
        <v>119</v>
      </c>
      <c r="F43" s="9"/>
      <c r="G43" s="5">
        <f t="shared" si="19"/>
        <v>9</v>
      </c>
      <c r="H43" s="5">
        <f t="shared" si="20"/>
        <v>9</v>
      </c>
      <c r="I43" s="5"/>
      <c r="J43">
        <f t="shared" si="22"/>
        <v>2</v>
      </c>
      <c r="K43">
        <f t="shared" si="23"/>
        <v>1</v>
      </c>
      <c r="M43">
        <f t="shared" si="25"/>
        <v>0</v>
      </c>
      <c r="N43">
        <f t="shared" si="26"/>
        <v>1</v>
      </c>
    </row>
    <row r="44" spans="2:15" ht="15.75" thickBot="1" x14ac:dyDescent="0.3">
      <c r="B44" s="1" t="s">
        <v>29</v>
      </c>
      <c r="C44" s="1" t="s">
        <v>30</v>
      </c>
      <c r="D44" s="2">
        <v>70</v>
      </c>
      <c r="E44" s="2"/>
      <c r="F44" s="9">
        <v>205</v>
      </c>
      <c r="G44" s="5">
        <f t="shared" si="19"/>
        <v>0</v>
      </c>
      <c r="H44" s="5"/>
      <c r="I44" s="5">
        <f t="shared" si="21"/>
        <v>5</v>
      </c>
      <c r="J44">
        <f t="shared" si="22"/>
        <v>7</v>
      </c>
      <c r="K44">
        <f t="shared" si="23"/>
        <v>0</v>
      </c>
      <c r="M44">
        <f t="shared" si="25"/>
        <v>0</v>
      </c>
      <c r="O44">
        <f t="shared" si="27"/>
        <v>2</v>
      </c>
    </row>
    <row r="45" spans="2:15" x14ac:dyDescent="0.25">
      <c r="B45" s="5"/>
      <c r="C45" s="5" t="s">
        <v>31</v>
      </c>
      <c r="D45" s="6">
        <f>SUM(D36:D44)</f>
        <v>390</v>
      </c>
      <c r="E45" s="5">
        <f>SUM(E36:E44)</f>
        <v>2471</v>
      </c>
      <c r="F45" s="6">
        <f>SUM(F36:F44)</f>
        <v>205</v>
      </c>
      <c r="G45" s="5"/>
      <c r="H45" s="5"/>
      <c r="I45" s="5"/>
      <c r="J45" s="7"/>
      <c r="K45" s="5"/>
    </row>
    <row r="46" spans="2:15" x14ac:dyDescent="0.25">
      <c r="B46" s="5"/>
      <c r="C46" s="5"/>
      <c r="D46" s="6"/>
      <c r="E46" s="5"/>
      <c r="F46" s="6"/>
      <c r="G46" s="5"/>
      <c r="H46" s="5"/>
      <c r="I46" s="5"/>
      <c r="J46" s="7"/>
      <c r="K46" s="5"/>
    </row>
    <row r="47" spans="2:15" x14ac:dyDescent="0.25">
      <c r="B47" s="5"/>
      <c r="C47" s="5"/>
      <c r="D47" s="6"/>
      <c r="E47" s="5"/>
      <c r="F47" s="6"/>
      <c r="G47" s="5"/>
      <c r="H47" s="5"/>
      <c r="I47" s="5"/>
      <c r="J47" s="7"/>
      <c r="K47" s="5"/>
      <c r="L47" s="5"/>
      <c r="N47" s="5"/>
      <c r="O47" s="5"/>
    </row>
    <row r="48" spans="2:15" x14ac:dyDescent="0.25">
      <c r="B48" s="5"/>
      <c r="C48" s="5"/>
      <c r="D48" s="6"/>
      <c r="E48" s="6"/>
      <c r="F48">
        <v>0</v>
      </c>
      <c r="G48">
        <f>COUNTIF(G$4:G$22,$F48)</f>
        <v>9</v>
      </c>
      <c r="H48">
        <f>COUNTIF(H$4:H$22,$F48)</f>
        <v>9</v>
      </c>
      <c r="I48">
        <f t="shared" ref="I48:O57" si="28">COUNTIF(I$4:I$22,$F48)</f>
        <v>5</v>
      </c>
      <c r="J48">
        <f t="shared" si="28"/>
        <v>3</v>
      </c>
      <c r="K48">
        <f t="shared" si="28"/>
        <v>10</v>
      </c>
      <c r="L48">
        <f t="shared" si="28"/>
        <v>3</v>
      </c>
      <c r="M48">
        <f t="shared" si="28"/>
        <v>12</v>
      </c>
      <c r="N48">
        <f t="shared" si="28"/>
        <v>0</v>
      </c>
      <c r="O48">
        <f t="shared" si="28"/>
        <v>0</v>
      </c>
    </row>
    <row r="49" spans="2:15" x14ac:dyDescent="0.25">
      <c r="B49" s="5"/>
      <c r="C49" s="5"/>
      <c r="D49" s="6"/>
      <c r="E49" s="6"/>
      <c r="F49">
        <v>1</v>
      </c>
      <c r="G49">
        <f t="shared" ref="G49:G57" si="29">COUNTIF(G$4:G$22,$F49)</f>
        <v>0</v>
      </c>
      <c r="H49">
        <f t="shared" ref="H49:I57" si="30">COUNTIF(H$4:H$22,$F49)</f>
        <v>0</v>
      </c>
      <c r="I49">
        <f t="shared" si="30"/>
        <v>0</v>
      </c>
      <c r="J49">
        <f t="shared" si="28"/>
        <v>0</v>
      </c>
      <c r="K49">
        <f t="shared" si="28"/>
        <v>2</v>
      </c>
      <c r="L49">
        <f t="shared" si="28"/>
        <v>2</v>
      </c>
      <c r="M49">
        <f t="shared" si="28"/>
        <v>6</v>
      </c>
      <c r="N49">
        <f t="shared" si="28"/>
        <v>2</v>
      </c>
      <c r="O49">
        <f t="shared" si="28"/>
        <v>1</v>
      </c>
    </row>
    <row r="50" spans="2:15" x14ac:dyDescent="0.25">
      <c r="B50" s="5"/>
      <c r="C50" s="5"/>
      <c r="D50" s="6"/>
      <c r="E50" s="6"/>
      <c r="F50">
        <v>2</v>
      </c>
      <c r="G50">
        <f t="shared" si="29"/>
        <v>3</v>
      </c>
      <c r="H50">
        <f t="shared" si="30"/>
        <v>1</v>
      </c>
      <c r="I50">
        <f t="shared" si="30"/>
        <v>2</v>
      </c>
      <c r="J50">
        <f t="shared" si="28"/>
        <v>1</v>
      </c>
      <c r="K50">
        <f t="shared" si="28"/>
        <v>0</v>
      </c>
      <c r="L50">
        <f t="shared" si="28"/>
        <v>0</v>
      </c>
      <c r="M50">
        <f t="shared" si="28"/>
        <v>0</v>
      </c>
      <c r="N50">
        <f t="shared" si="28"/>
        <v>3</v>
      </c>
      <c r="O50">
        <f t="shared" si="28"/>
        <v>4</v>
      </c>
    </row>
    <row r="51" spans="2:15" x14ac:dyDescent="0.25">
      <c r="B51" s="5"/>
      <c r="C51" s="5"/>
      <c r="D51" s="6"/>
      <c r="E51" s="6"/>
      <c r="F51">
        <v>3</v>
      </c>
      <c r="G51">
        <f t="shared" si="29"/>
        <v>0</v>
      </c>
      <c r="H51">
        <f t="shared" si="30"/>
        <v>2</v>
      </c>
      <c r="I51">
        <f>COUNTIF(I$4:I$22,$F51)</f>
        <v>1</v>
      </c>
      <c r="J51">
        <f t="shared" si="28"/>
        <v>7</v>
      </c>
      <c r="K51">
        <f t="shared" si="28"/>
        <v>3</v>
      </c>
      <c r="L51">
        <f t="shared" si="28"/>
        <v>6</v>
      </c>
      <c r="M51">
        <f t="shared" si="28"/>
        <v>0</v>
      </c>
      <c r="N51">
        <f t="shared" si="28"/>
        <v>1</v>
      </c>
      <c r="O51">
        <f t="shared" si="28"/>
        <v>1</v>
      </c>
    </row>
    <row r="52" spans="2:15" x14ac:dyDescent="0.25">
      <c r="B52" s="5"/>
      <c r="C52" s="5"/>
      <c r="D52" s="6"/>
      <c r="E52" s="6"/>
      <c r="F52">
        <v>4</v>
      </c>
      <c r="G52">
        <f t="shared" si="29"/>
        <v>1</v>
      </c>
      <c r="H52">
        <f t="shared" si="30"/>
        <v>0</v>
      </c>
      <c r="I52">
        <f t="shared" si="30"/>
        <v>1</v>
      </c>
      <c r="J52">
        <f t="shared" si="28"/>
        <v>0</v>
      </c>
      <c r="K52">
        <f>COUNTIF(K$4:K$22,$F52)</f>
        <v>1</v>
      </c>
      <c r="L52">
        <f t="shared" si="28"/>
        <v>1</v>
      </c>
      <c r="M52">
        <f t="shared" si="28"/>
        <v>0</v>
      </c>
      <c r="N52">
        <f t="shared" si="28"/>
        <v>4</v>
      </c>
      <c r="O52">
        <f t="shared" si="28"/>
        <v>3</v>
      </c>
    </row>
    <row r="53" spans="2:15" x14ac:dyDescent="0.25">
      <c r="B53" s="5"/>
      <c r="C53" s="5"/>
      <c r="D53" s="6"/>
      <c r="E53" s="6"/>
      <c r="F53">
        <v>5</v>
      </c>
      <c r="G53">
        <f>COUNTIF(G$4:G$22,$F53)</f>
        <v>4</v>
      </c>
      <c r="H53">
        <f t="shared" si="30"/>
        <v>3</v>
      </c>
      <c r="I53">
        <f t="shared" si="30"/>
        <v>4</v>
      </c>
      <c r="J53">
        <f t="shared" si="28"/>
        <v>0</v>
      </c>
      <c r="K53">
        <f t="shared" si="28"/>
        <v>1</v>
      </c>
      <c r="L53">
        <f t="shared" si="28"/>
        <v>1</v>
      </c>
      <c r="M53">
        <f t="shared" si="28"/>
        <v>1</v>
      </c>
      <c r="N53">
        <f t="shared" si="28"/>
        <v>2</v>
      </c>
      <c r="O53">
        <f t="shared" si="28"/>
        <v>0</v>
      </c>
    </row>
    <row r="54" spans="2:15" x14ac:dyDescent="0.25">
      <c r="B54" s="5"/>
      <c r="C54" s="5"/>
      <c r="D54" s="6"/>
      <c r="E54" s="6"/>
      <c r="F54">
        <v>6</v>
      </c>
      <c r="G54">
        <f t="shared" si="29"/>
        <v>0</v>
      </c>
      <c r="H54">
        <f t="shared" si="30"/>
        <v>0</v>
      </c>
      <c r="I54">
        <f t="shared" si="30"/>
        <v>0</v>
      </c>
      <c r="J54">
        <f t="shared" si="28"/>
        <v>3</v>
      </c>
      <c r="K54">
        <f t="shared" si="28"/>
        <v>0</v>
      </c>
      <c r="L54">
        <f t="shared" si="28"/>
        <v>4</v>
      </c>
      <c r="M54">
        <f t="shared" si="28"/>
        <v>0</v>
      </c>
      <c r="N54">
        <f t="shared" si="28"/>
        <v>0</v>
      </c>
      <c r="O54">
        <f t="shared" si="28"/>
        <v>1</v>
      </c>
    </row>
    <row r="55" spans="2:15" x14ac:dyDescent="0.25">
      <c r="B55" s="5"/>
      <c r="C55" s="5"/>
      <c r="D55" s="6"/>
      <c r="E55" s="6"/>
      <c r="F55">
        <v>7</v>
      </c>
      <c r="G55">
        <f t="shared" si="29"/>
        <v>1</v>
      </c>
      <c r="H55">
        <f t="shared" si="30"/>
        <v>2</v>
      </c>
      <c r="I55">
        <f t="shared" si="30"/>
        <v>1</v>
      </c>
      <c r="J55">
        <f t="shared" si="28"/>
        <v>2</v>
      </c>
      <c r="K55">
        <f t="shared" si="28"/>
        <v>0</v>
      </c>
      <c r="L55">
        <f t="shared" si="28"/>
        <v>1</v>
      </c>
      <c r="M55">
        <f t="shared" si="28"/>
        <v>0</v>
      </c>
      <c r="N55">
        <f t="shared" si="28"/>
        <v>1</v>
      </c>
      <c r="O55">
        <f t="shared" si="28"/>
        <v>1</v>
      </c>
    </row>
    <row r="56" spans="2:15" x14ac:dyDescent="0.25">
      <c r="B56" s="5"/>
      <c r="C56" s="5"/>
      <c r="D56" s="6"/>
      <c r="E56" s="5"/>
      <c r="F56">
        <v>8</v>
      </c>
      <c r="G56">
        <f t="shared" si="29"/>
        <v>0</v>
      </c>
      <c r="H56">
        <f t="shared" si="30"/>
        <v>0</v>
      </c>
      <c r="I56">
        <f t="shared" si="30"/>
        <v>2</v>
      </c>
      <c r="J56">
        <f t="shared" si="28"/>
        <v>2</v>
      </c>
      <c r="K56">
        <f t="shared" si="28"/>
        <v>1</v>
      </c>
      <c r="L56">
        <f t="shared" si="28"/>
        <v>0</v>
      </c>
      <c r="M56">
        <f t="shared" si="28"/>
        <v>0</v>
      </c>
      <c r="N56">
        <f t="shared" si="28"/>
        <v>6</v>
      </c>
      <c r="O56">
        <f t="shared" si="28"/>
        <v>1</v>
      </c>
    </row>
    <row r="57" spans="2:15" x14ac:dyDescent="0.25">
      <c r="F57">
        <v>9</v>
      </c>
      <c r="G57">
        <f t="shared" si="29"/>
        <v>1</v>
      </c>
      <c r="H57">
        <f t="shared" si="30"/>
        <v>2</v>
      </c>
      <c r="I57">
        <f t="shared" si="30"/>
        <v>3</v>
      </c>
      <c r="J57">
        <f t="shared" si="28"/>
        <v>1</v>
      </c>
      <c r="K57">
        <f t="shared" si="28"/>
        <v>1</v>
      </c>
      <c r="L57">
        <f t="shared" si="28"/>
        <v>1</v>
      </c>
      <c r="M57">
        <f t="shared" si="28"/>
        <v>0</v>
      </c>
      <c r="N57">
        <f t="shared" si="28"/>
        <v>0</v>
      </c>
      <c r="O57">
        <f t="shared" si="28"/>
        <v>7</v>
      </c>
    </row>
    <row r="58" spans="2:15" x14ac:dyDescent="0.25">
      <c r="C58">
        <f>0.1^6</f>
        <v>1.0000000000000006E-6</v>
      </c>
    </row>
    <row r="77" spans="8:13" x14ac:dyDescent="0.25">
      <c r="H77" s="36"/>
      <c r="I77" s="36"/>
      <c r="J77" s="36"/>
      <c r="K77" s="36"/>
      <c r="L77" s="36"/>
      <c r="M77" s="36"/>
    </row>
  </sheetData>
  <mergeCells count="6">
    <mergeCell ref="D2:F2"/>
    <mergeCell ref="G2:I2"/>
    <mergeCell ref="J2:L2"/>
    <mergeCell ref="M2:O2"/>
    <mergeCell ref="H77:J77"/>
    <mergeCell ref="K77:M77"/>
  </mergeCells>
  <conditionalFormatting sqref="G4:O22">
    <cfRule type="cellIs" dxfId="5" priority="5" operator="equal">
      <formula>0</formula>
    </cfRule>
    <cfRule type="cellIs" dxfId="4" priority="6" operator="equal">
      <formula>5</formula>
    </cfRule>
  </conditionalFormatting>
  <conditionalFormatting sqref="G26:O44">
    <cfRule type="cellIs" dxfId="1" priority="1" operator="equal">
      <formula>0</formula>
    </cfRule>
    <cfRule type="cellIs" dxfId="0" priority="2" operator="equal">
      <formula>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C9B7-E4D8-4551-94B1-963DDE5F6103}">
  <dimension ref="A1:AB47"/>
  <sheetViews>
    <sheetView topLeftCell="J1" zoomScale="70" zoomScaleNormal="70" workbookViewId="0">
      <selection activeCell="R20" sqref="R20"/>
    </sheetView>
  </sheetViews>
  <sheetFormatPr defaultRowHeight="15" x14ac:dyDescent="0.25"/>
  <cols>
    <col min="2" max="2" width="21.140625" customWidth="1"/>
    <col min="6" max="6" width="8.140625" customWidth="1"/>
    <col min="7" max="7" width="8.5703125" customWidth="1"/>
    <col min="8" max="9" width="7.42578125" customWidth="1"/>
    <col min="10" max="10" width="14.5703125" customWidth="1"/>
  </cols>
  <sheetData>
    <row r="1" spans="1:28" x14ac:dyDescent="0.25">
      <c r="B1" t="s">
        <v>67</v>
      </c>
    </row>
    <row r="2" spans="1:28" ht="15.75" thickBot="1" x14ac:dyDescent="0.3"/>
    <row r="3" spans="1:28" ht="15.75" thickBot="1" x14ac:dyDescent="0.3">
      <c r="B3" s="17" t="s">
        <v>68</v>
      </c>
      <c r="C3" s="38" t="s">
        <v>107</v>
      </c>
      <c r="D3" s="36"/>
      <c r="E3" t="s">
        <v>62</v>
      </c>
      <c r="F3" s="36" t="s">
        <v>104</v>
      </c>
      <c r="G3" s="36"/>
      <c r="H3" s="36" t="s">
        <v>108</v>
      </c>
      <c r="I3" s="36"/>
      <c r="J3" s="36" t="s">
        <v>112</v>
      </c>
      <c r="K3" s="36"/>
      <c r="L3" s="36"/>
      <c r="M3" s="36"/>
    </row>
    <row r="4" spans="1:28" ht="15.75" thickBot="1" x14ac:dyDescent="0.3">
      <c r="B4" s="17"/>
      <c r="C4" s="20" t="s">
        <v>118</v>
      </c>
      <c r="D4" s="21" t="s">
        <v>105</v>
      </c>
      <c r="F4" s="20" t="s">
        <v>118</v>
      </c>
      <c r="G4" s="21" t="s">
        <v>105</v>
      </c>
      <c r="H4" s="20" t="s">
        <v>118</v>
      </c>
      <c r="I4" s="21" t="s">
        <v>105</v>
      </c>
      <c r="J4" s="20" t="s">
        <v>118</v>
      </c>
      <c r="K4" s="21" t="s">
        <v>105</v>
      </c>
      <c r="Z4">
        <v>1</v>
      </c>
      <c r="AA4">
        <f t="shared" ref="AA4:AA12" si="0">Z4*7</f>
        <v>7</v>
      </c>
      <c r="AB4">
        <f>VALUE(RIGHT(AA4,1))</f>
        <v>7</v>
      </c>
    </row>
    <row r="5" spans="1:28" ht="15.75" thickBot="1" x14ac:dyDescent="0.3">
      <c r="A5" t="s">
        <v>110</v>
      </c>
      <c r="B5" s="18" t="s">
        <v>63</v>
      </c>
      <c r="C5" s="19">
        <v>17</v>
      </c>
      <c r="D5" s="19">
        <v>17</v>
      </c>
      <c r="E5" t="s">
        <v>64</v>
      </c>
      <c r="F5">
        <f>MOD(C5,10)</f>
        <v>7</v>
      </c>
      <c r="G5">
        <f>MOD(D5,10)</f>
        <v>7</v>
      </c>
      <c r="H5">
        <f>IF(MOD(C5,5)=0,1,0)</f>
        <v>0</v>
      </c>
      <c r="I5">
        <f>IF(MOD(D5,5)=0,1,0)</f>
        <v>0</v>
      </c>
      <c r="J5">
        <f>MOD(INT(C5/10),10)</f>
        <v>1</v>
      </c>
      <c r="K5">
        <f>MOD(INT(D5/10),10)</f>
        <v>1</v>
      </c>
      <c r="L5" t="b">
        <f>ISODD(C5)</f>
        <v>1</v>
      </c>
      <c r="M5" t="b">
        <f>ISODD(D5)</f>
        <v>1</v>
      </c>
      <c r="Z5">
        <v>2</v>
      </c>
      <c r="AA5">
        <f t="shared" si="0"/>
        <v>14</v>
      </c>
      <c r="AB5">
        <f t="shared" ref="AB5:AB13" si="1">VALUE(RIGHT(AA5,1))</f>
        <v>4</v>
      </c>
    </row>
    <row r="6" spans="1:28" ht="15.75" thickBot="1" x14ac:dyDescent="0.3">
      <c r="B6" s="18" t="s">
        <v>65</v>
      </c>
      <c r="C6" s="19">
        <v>3</v>
      </c>
      <c r="D6" s="19">
        <v>3</v>
      </c>
      <c r="E6" t="s">
        <v>64</v>
      </c>
      <c r="F6">
        <f t="shared" ref="F6:F43" si="2">MOD(C6,10)</f>
        <v>3</v>
      </c>
      <c r="G6">
        <f t="shared" ref="G6:G43" si="3">MOD(D6,10)</f>
        <v>3</v>
      </c>
      <c r="H6">
        <f t="shared" ref="H6:H43" si="4">IF(MOD(C6,5)=0,1,0)</f>
        <v>0</v>
      </c>
      <c r="I6">
        <f t="shared" ref="I6:I43" si="5">IF(MOD(D6,5)=0,1,0)</f>
        <v>0</v>
      </c>
      <c r="J6">
        <f t="shared" ref="J6:J43" si="6">MOD(INT(C6/10),10)</f>
        <v>0</v>
      </c>
      <c r="K6">
        <f t="shared" ref="K6:K43" si="7">MOD(INT(D6/10),10)</f>
        <v>0</v>
      </c>
      <c r="L6" t="b">
        <f t="shared" ref="L6:L43" si="8">ISODD(C6)</f>
        <v>1</v>
      </c>
      <c r="M6" t="b">
        <f t="shared" ref="M6:M43" si="9">ISODD(D6)</f>
        <v>1</v>
      </c>
      <c r="Z6">
        <v>3</v>
      </c>
      <c r="AA6">
        <f t="shared" si="0"/>
        <v>21</v>
      </c>
      <c r="AB6">
        <f t="shared" si="1"/>
        <v>1</v>
      </c>
    </row>
    <row r="7" spans="1:28" ht="15.75" thickBot="1" x14ac:dyDescent="0.3">
      <c r="B7" s="18" t="s">
        <v>66</v>
      </c>
      <c r="C7" s="19">
        <v>41</v>
      </c>
      <c r="D7" s="19">
        <v>41</v>
      </c>
      <c r="E7" t="s">
        <v>64</v>
      </c>
      <c r="F7">
        <f t="shared" si="2"/>
        <v>1</v>
      </c>
      <c r="G7">
        <f t="shared" si="3"/>
        <v>1</v>
      </c>
      <c r="H7">
        <f t="shared" si="4"/>
        <v>0</v>
      </c>
      <c r="I7">
        <f t="shared" si="5"/>
        <v>0</v>
      </c>
      <c r="J7">
        <f t="shared" si="6"/>
        <v>4</v>
      </c>
      <c r="K7">
        <f t="shared" si="7"/>
        <v>4</v>
      </c>
      <c r="L7" t="b">
        <f t="shared" si="8"/>
        <v>1</v>
      </c>
      <c r="M7" t="b">
        <f t="shared" si="9"/>
        <v>1</v>
      </c>
      <c r="U7" t="s">
        <v>111</v>
      </c>
      <c r="Z7">
        <v>4</v>
      </c>
      <c r="AA7">
        <f t="shared" si="0"/>
        <v>28</v>
      </c>
      <c r="AB7">
        <f t="shared" si="1"/>
        <v>8</v>
      </c>
    </row>
    <row r="8" spans="1:28" ht="15.75" thickBot="1" x14ac:dyDescent="0.3">
      <c r="B8" s="18" t="s">
        <v>69</v>
      </c>
      <c r="C8" s="19">
        <v>25</v>
      </c>
      <c r="D8" s="19">
        <v>25</v>
      </c>
      <c r="E8" t="s">
        <v>64</v>
      </c>
      <c r="F8">
        <f t="shared" si="2"/>
        <v>5</v>
      </c>
      <c r="G8">
        <f t="shared" si="3"/>
        <v>5</v>
      </c>
      <c r="H8">
        <f t="shared" si="4"/>
        <v>1</v>
      </c>
      <c r="I8">
        <f t="shared" si="5"/>
        <v>1</v>
      </c>
      <c r="J8">
        <f t="shared" si="6"/>
        <v>2</v>
      </c>
      <c r="K8">
        <f t="shared" si="7"/>
        <v>2</v>
      </c>
      <c r="L8" t="b">
        <f t="shared" si="8"/>
        <v>1</v>
      </c>
      <c r="M8" t="b">
        <f t="shared" si="9"/>
        <v>1</v>
      </c>
      <c r="U8" t="s">
        <v>106</v>
      </c>
      <c r="V8" t="s">
        <v>105</v>
      </c>
      <c r="Z8">
        <v>5</v>
      </c>
      <c r="AA8">
        <f t="shared" si="0"/>
        <v>35</v>
      </c>
      <c r="AB8">
        <f t="shared" si="1"/>
        <v>5</v>
      </c>
    </row>
    <row r="9" spans="1:28" ht="15.75" thickBot="1" x14ac:dyDescent="0.3">
      <c r="B9" s="18" t="s">
        <v>70</v>
      </c>
      <c r="C9" s="19">
        <v>7</v>
      </c>
      <c r="D9" s="19">
        <v>8</v>
      </c>
      <c r="E9" t="s">
        <v>64</v>
      </c>
      <c r="F9">
        <f t="shared" si="2"/>
        <v>7</v>
      </c>
      <c r="G9">
        <f t="shared" si="3"/>
        <v>8</v>
      </c>
      <c r="H9">
        <f t="shared" si="4"/>
        <v>0</v>
      </c>
      <c r="I9">
        <f t="shared" si="5"/>
        <v>0</v>
      </c>
      <c r="J9">
        <f t="shared" si="6"/>
        <v>0</v>
      </c>
      <c r="K9">
        <f t="shared" si="7"/>
        <v>0</v>
      </c>
      <c r="L9" t="b">
        <f t="shared" si="8"/>
        <v>1</v>
      </c>
      <c r="M9" t="b">
        <f t="shared" si="9"/>
        <v>0</v>
      </c>
      <c r="T9">
        <v>0</v>
      </c>
      <c r="U9">
        <f>COUNTIF($F$5:$F$43,T9)</f>
        <v>2</v>
      </c>
      <c r="V9">
        <f>COUNTIF($G$5:$G$43,T9)</f>
        <v>5</v>
      </c>
      <c r="Z9">
        <v>6</v>
      </c>
      <c r="AA9">
        <f t="shared" si="0"/>
        <v>42</v>
      </c>
      <c r="AB9">
        <f t="shared" si="1"/>
        <v>2</v>
      </c>
    </row>
    <row r="10" spans="1:28" ht="15.75" thickBot="1" x14ac:dyDescent="0.3">
      <c r="B10" s="18" t="s">
        <v>71</v>
      </c>
      <c r="C10" s="19">
        <v>1</v>
      </c>
      <c r="D10" s="19">
        <v>2</v>
      </c>
      <c r="E10" t="s">
        <v>64</v>
      </c>
      <c r="F10">
        <f t="shared" si="2"/>
        <v>1</v>
      </c>
      <c r="G10">
        <f t="shared" si="3"/>
        <v>2</v>
      </c>
      <c r="H10">
        <f t="shared" si="4"/>
        <v>0</v>
      </c>
      <c r="I10">
        <f t="shared" si="5"/>
        <v>0</v>
      </c>
      <c r="J10">
        <f t="shared" si="6"/>
        <v>0</v>
      </c>
      <c r="K10">
        <f t="shared" si="7"/>
        <v>0</v>
      </c>
      <c r="L10" t="b">
        <f t="shared" si="8"/>
        <v>1</v>
      </c>
      <c r="M10" t="b">
        <f t="shared" si="9"/>
        <v>0</v>
      </c>
      <c r="T10">
        <v>1</v>
      </c>
      <c r="U10">
        <f t="shared" ref="U10:U18" si="10">COUNTIF($F$5:$F$43,T10)</f>
        <v>14</v>
      </c>
      <c r="V10">
        <f>COUNTIF($G$5:$G$43,T10)</f>
        <v>6</v>
      </c>
      <c r="Z10">
        <v>7</v>
      </c>
      <c r="AA10">
        <f t="shared" si="0"/>
        <v>49</v>
      </c>
      <c r="AB10">
        <f t="shared" si="1"/>
        <v>9</v>
      </c>
    </row>
    <row r="11" spans="1:28" ht="15.75" thickBot="1" x14ac:dyDescent="0.3">
      <c r="B11" s="18" t="s">
        <v>72</v>
      </c>
      <c r="C11" s="19">
        <v>6</v>
      </c>
      <c r="D11" s="19">
        <v>6</v>
      </c>
      <c r="E11" t="s">
        <v>64</v>
      </c>
      <c r="F11">
        <f t="shared" si="2"/>
        <v>6</v>
      </c>
      <c r="G11">
        <f t="shared" si="3"/>
        <v>6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7"/>
        <v>0</v>
      </c>
      <c r="L11" t="b">
        <f t="shared" si="8"/>
        <v>0</v>
      </c>
      <c r="M11" t="b">
        <f t="shared" si="9"/>
        <v>0</v>
      </c>
      <c r="T11">
        <v>2</v>
      </c>
      <c r="U11">
        <f t="shared" si="10"/>
        <v>3</v>
      </c>
      <c r="V11">
        <f t="shared" ref="V10:V18" si="11">COUNTIF($G$5:$G$43,T11)</f>
        <v>11</v>
      </c>
      <c r="Z11">
        <v>8</v>
      </c>
      <c r="AA11">
        <f t="shared" si="0"/>
        <v>56</v>
      </c>
      <c r="AB11">
        <f t="shared" si="1"/>
        <v>6</v>
      </c>
    </row>
    <row r="12" spans="1:28" ht="15.75" thickBot="1" x14ac:dyDescent="0.3">
      <c r="B12" s="18" t="s">
        <v>73</v>
      </c>
      <c r="C12" s="19">
        <v>39</v>
      </c>
      <c r="D12" s="19">
        <v>40</v>
      </c>
      <c r="E12" t="s">
        <v>64</v>
      </c>
      <c r="F12">
        <f t="shared" si="2"/>
        <v>9</v>
      </c>
      <c r="G12">
        <f t="shared" si="3"/>
        <v>0</v>
      </c>
      <c r="H12">
        <f t="shared" si="4"/>
        <v>0</v>
      </c>
      <c r="I12">
        <f t="shared" si="5"/>
        <v>1</v>
      </c>
      <c r="J12">
        <f t="shared" si="6"/>
        <v>3</v>
      </c>
      <c r="K12">
        <f t="shared" si="7"/>
        <v>4</v>
      </c>
      <c r="L12" t="b">
        <f t="shared" si="8"/>
        <v>1</v>
      </c>
      <c r="M12" t="b">
        <f t="shared" si="9"/>
        <v>0</v>
      </c>
      <c r="T12">
        <v>3</v>
      </c>
      <c r="U12">
        <f t="shared" si="10"/>
        <v>4</v>
      </c>
      <c r="V12">
        <f t="shared" si="11"/>
        <v>3</v>
      </c>
      <c r="Z12">
        <v>9</v>
      </c>
      <c r="AA12">
        <f t="shared" si="0"/>
        <v>63</v>
      </c>
      <c r="AB12">
        <f t="shared" si="1"/>
        <v>3</v>
      </c>
    </row>
    <row r="13" spans="1:28" ht="15.75" thickBot="1" x14ac:dyDescent="0.3">
      <c r="B13" s="18" t="s">
        <v>74</v>
      </c>
      <c r="C13" s="19">
        <v>29</v>
      </c>
      <c r="D13" s="19">
        <v>29</v>
      </c>
      <c r="E13" t="s">
        <v>64</v>
      </c>
      <c r="F13">
        <f t="shared" si="2"/>
        <v>9</v>
      </c>
      <c r="G13">
        <f t="shared" si="3"/>
        <v>9</v>
      </c>
      <c r="H13">
        <f t="shared" si="4"/>
        <v>0</v>
      </c>
      <c r="I13">
        <f t="shared" si="5"/>
        <v>0</v>
      </c>
      <c r="J13">
        <f t="shared" si="6"/>
        <v>2</v>
      </c>
      <c r="K13">
        <f t="shared" si="7"/>
        <v>2</v>
      </c>
      <c r="L13" t="b">
        <f t="shared" si="8"/>
        <v>1</v>
      </c>
      <c r="M13" t="b">
        <f t="shared" si="9"/>
        <v>1</v>
      </c>
      <c r="T13">
        <v>4</v>
      </c>
      <c r="U13">
        <f t="shared" si="10"/>
        <v>0</v>
      </c>
      <c r="V13">
        <f t="shared" si="11"/>
        <v>1</v>
      </c>
      <c r="Z13">
        <v>10</v>
      </c>
      <c r="AA13">
        <f>Z13*7</f>
        <v>70</v>
      </c>
      <c r="AB13">
        <f t="shared" si="1"/>
        <v>0</v>
      </c>
    </row>
    <row r="14" spans="1:28" ht="15.75" thickBot="1" x14ac:dyDescent="0.3">
      <c r="B14" s="18" t="s">
        <v>75</v>
      </c>
      <c r="C14" s="19">
        <v>52</v>
      </c>
      <c r="D14" s="19">
        <v>52</v>
      </c>
      <c r="E14" t="s">
        <v>64</v>
      </c>
      <c r="F14">
        <f t="shared" si="2"/>
        <v>2</v>
      </c>
      <c r="G14">
        <f t="shared" si="3"/>
        <v>2</v>
      </c>
      <c r="H14">
        <f t="shared" si="4"/>
        <v>0</v>
      </c>
      <c r="I14">
        <f t="shared" si="5"/>
        <v>0</v>
      </c>
      <c r="J14">
        <f t="shared" si="6"/>
        <v>5</v>
      </c>
      <c r="K14">
        <f t="shared" si="7"/>
        <v>5</v>
      </c>
      <c r="L14" t="b">
        <f t="shared" si="8"/>
        <v>0</v>
      </c>
      <c r="M14" t="b">
        <f t="shared" si="9"/>
        <v>0</v>
      </c>
      <c r="T14">
        <v>5</v>
      </c>
      <c r="U14">
        <f t="shared" si="10"/>
        <v>3</v>
      </c>
      <c r="V14">
        <f t="shared" si="11"/>
        <v>2</v>
      </c>
    </row>
    <row r="15" spans="1:28" ht="15.75" thickBot="1" x14ac:dyDescent="0.3">
      <c r="B15" s="18" t="s">
        <v>76</v>
      </c>
      <c r="C15" s="19">
        <v>16</v>
      </c>
      <c r="D15" s="19">
        <v>20</v>
      </c>
      <c r="E15" t="s">
        <v>64</v>
      </c>
      <c r="F15">
        <f t="shared" si="2"/>
        <v>6</v>
      </c>
      <c r="G15">
        <f t="shared" si="3"/>
        <v>0</v>
      </c>
      <c r="H15">
        <f t="shared" si="4"/>
        <v>0</v>
      </c>
      <c r="I15">
        <f t="shared" si="5"/>
        <v>1</v>
      </c>
      <c r="J15">
        <f t="shared" si="6"/>
        <v>1</v>
      </c>
      <c r="K15">
        <f t="shared" si="7"/>
        <v>2</v>
      </c>
      <c r="L15" t="b">
        <f t="shared" si="8"/>
        <v>0</v>
      </c>
      <c r="M15" t="b">
        <f t="shared" si="9"/>
        <v>0</v>
      </c>
      <c r="T15">
        <v>6</v>
      </c>
      <c r="U15">
        <f t="shared" si="10"/>
        <v>5</v>
      </c>
      <c r="V15">
        <f t="shared" si="11"/>
        <v>3</v>
      </c>
    </row>
    <row r="16" spans="1:28" ht="15.75" thickBot="1" x14ac:dyDescent="0.3">
      <c r="B16" s="18" t="s">
        <v>77</v>
      </c>
      <c r="C16" s="19">
        <v>16</v>
      </c>
      <c r="D16" s="19">
        <v>20</v>
      </c>
      <c r="E16" t="s">
        <v>64</v>
      </c>
      <c r="F16">
        <f t="shared" si="2"/>
        <v>6</v>
      </c>
      <c r="G16">
        <f t="shared" si="3"/>
        <v>0</v>
      </c>
      <c r="H16">
        <f t="shared" si="4"/>
        <v>0</v>
      </c>
      <c r="I16">
        <f t="shared" si="5"/>
        <v>1</v>
      </c>
      <c r="J16">
        <f t="shared" si="6"/>
        <v>1</v>
      </c>
      <c r="K16">
        <f t="shared" si="7"/>
        <v>2</v>
      </c>
      <c r="L16" t="b">
        <f t="shared" si="8"/>
        <v>0</v>
      </c>
      <c r="M16" t="b">
        <f t="shared" si="9"/>
        <v>0</v>
      </c>
      <c r="T16">
        <v>7</v>
      </c>
      <c r="U16">
        <f t="shared" si="10"/>
        <v>4</v>
      </c>
      <c r="V16">
        <f t="shared" si="11"/>
        <v>3</v>
      </c>
    </row>
    <row r="17" spans="1:22" ht="15.75" thickBot="1" x14ac:dyDescent="0.3">
      <c r="B17" s="18" t="s">
        <v>78</v>
      </c>
      <c r="C17" s="19">
        <v>29</v>
      </c>
      <c r="D17" s="19">
        <v>29</v>
      </c>
      <c r="E17" t="s">
        <v>64</v>
      </c>
      <c r="F17">
        <f t="shared" si="2"/>
        <v>9</v>
      </c>
      <c r="G17">
        <f t="shared" si="3"/>
        <v>9</v>
      </c>
      <c r="H17">
        <f t="shared" si="4"/>
        <v>0</v>
      </c>
      <c r="I17">
        <f t="shared" si="5"/>
        <v>0</v>
      </c>
      <c r="J17">
        <f t="shared" si="6"/>
        <v>2</v>
      </c>
      <c r="K17">
        <f t="shared" si="7"/>
        <v>2</v>
      </c>
      <c r="L17" t="b">
        <f t="shared" si="8"/>
        <v>1</v>
      </c>
      <c r="M17" t="b">
        <f t="shared" si="9"/>
        <v>1</v>
      </c>
      <c r="T17">
        <v>8</v>
      </c>
      <c r="U17">
        <f t="shared" si="10"/>
        <v>0</v>
      </c>
      <c r="V17">
        <f t="shared" si="11"/>
        <v>2</v>
      </c>
    </row>
    <row r="18" spans="1:22" ht="15.75" thickBot="1" x14ac:dyDescent="0.3">
      <c r="B18" s="18" t="s">
        <v>79</v>
      </c>
      <c r="C18" s="19">
        <v>55</v>
      </c>
      <c r="D18" s="19">
        <v>55</v>
      </c>
      <c r="E18" t="s">
        <v>64</v>
      </c>
      <c r="F18">
        <f t="shared" si="2"/>
        <v>5</v>
      </c>
      <c r="G18">
        <f t="shared" si="3"/>
        <v>5</v>
      </c>
      <c r="H18">
        <f t="shared" si="4"/>
        <v>1</v>
      </c>
      <c r="I18">
        <f t="shared" si="5"/>
        <v>1</v>
      </c>
      <c r="J18">
        <f t="shared" si="6"/>
        <v>5</v>
      </c>
      <c r="K18">
        <f t="shared" si="7"/>
        <v>5</v>
      </c>
      <c r="L18" t="b">
        <f t="shared" si="8"/>
        <v>1</v>
      </c>
      <c r="M18" t="b">
        <f t="shared" si="9"/>
        <v>1</v>
      </c>
      <c r="T18">
        <v>9</v>
      </c>
      <c r="U18">
        <f t="shared" si="10"/>
        <v>4</v>
      </c>
      <c r="V18">
        <f t="shared" si="11"/>
        <v>3</v>
      </c>
    </row>
    <row r="19" spans="1:22" ht="15.75" thickBot="1" x14ac:dyDescent="0.3">
      <c r="B19" s="18" t="s">
        <v>80</v>
      </c>
      <c r="C19" s="19">
        <v>2</v>
      </c>
      <c r="D19" s="19">
        <v>2</v>
      </c>
      <c r="E19" t="s">
        <v>64</v>
      </c>
      <c r="F19">
        <f t="shared" si="2"/>
        <v>2</v>
      </c>
      <c r="G19">
        <f t="shared" si="3"/>
        <v>2</v>
      </c>
      <c r="H19">
        <f t="shared" si="4"/>
        <v>0</v>
      </c>
      <c r="I19">
        <f t="shared" si="5"/>
        <v>0</v>
      </c>
      <c r="J19">
        <f t="shared" si="6"/>
        <v>0</v>
      </c>
      <c r="K19">
        <f t="shared" si="7"/>
        <v>0</v>
      </c>
      <c r="L19" t="b">
        <f t="shared" si="8"/>
        <v>0</v>
      </c>
      <c r="M19" t="b">
        <f t="shared" si="9"/>
        <v>0</v>
      </c>
    </row>
    <row r="20" spans="1:22" ht="15.75" thickBot="1" x14ac:dyDescent="0.3">
      <c r="B20" s="18" t="s">
        <v>81</v>
      </c>
      <c r="C20" s="19">
        <v>31</v>
      </c>
      <c r="D20" s="19">
        <v>31</v>
      </c>
      <c r="E20" t="s">
        <v>64</v>
      </c>
      <c r="F20">
        <f t="shared" si="2"/>
        <v>1</v>
      </c>
      <c r="G20">
        <f t="shared" si="3"/>
        <v>1</v>
      </c>
      <c r="H20">
        <f t="shared" si="4"/>
        <v>0</v>
      </c>
      <c r="I20">
        <f t="shared" si="5"/>
        <v>0</v>
      </c>
      <c r="J20">
        <f t="shared" si="6"/>
        <v>3</v>
      </c>
      <c r="K20">
        <f t="shared" si="7"/>
        <v>3</v>
      </c>
      <c r="L20" t="b">
        <f t="shared" si="8"/>
        <v>1</v>
      </c>
      <c r="M20" t="b">
        <f t="shared" si="9"/>
        <v>1</v>
      </c>
      <c r="T20" t="s">
        <v>20</v>
      </c>
      <c r="U20">
        <f>COUNTIF(U9:U18,0)</f>
        <v>2</v>
      </c>
      <c r="V20">
        <f>COUNTIF(V9:V18,0)</f>
        <v>0</v>
      </c>
    </row>
    <row r="21" spans="1:22" ht="15.75" thickBot="1" x14ac:dyDescent="0.3">
      <c r="B21" s="18" t="s">
        <v>82</v>
      </c>
      <c r="C21" s="19">
        <v>3</v>
      </c>
      <c r="D21" s="19">
        <v>3</v>
      </c>
      <c r="E21" t="s">
        <v>102</v>
      </c>
      <c r="F21">
        <f t="shared" si="2"/>
        <v>3</v>
      </c>
      <c r="G21">
        <f t="shared" si="3"/>
        <v>3</v>
      </c>
      <c r="H21">
        <f t="shared" si="4"/>
        <v>0</v>
      </c>
      <c r="I21">
        <f t="shared" si="5"/>
        <v>0</v>
      </c>
      <c r="J21">
        <f t="shared" si="6"/>
        <v>0</v>
      </c>
      <c r="K21">
        <f t="shared" si="7"/>
        <v>0</v>
      </c>
      <c r="L21" t="b">
        <f t="shared" si="8"/>
        <v>1</v>
      </c>
      <c r="M21" t="b">
        <f t="shared" si="9"/>
        <v>1</v>
      </c>
      <c r="T21" t="s">
        <v>21</v>
      </c>
      <c r="U21">
        <f>10-U20</f>
        <v>8</v>
      </c>
      <c r="V21">
        <f>10-V20</f>
        <v>10</v>
      </c>
    </row>
    <row r="22" spans="1:22" ht="15.75" thickBot="1" x14ac:dyDescent="0.3">
      <c r="B22" s="18" t="s">
        <v>83</v>
      </c>
      <c r="C22" s="19">
        <v>11</v>
      </c>
      <c r="D22" s="19">
        <v>11</v>
      </c>
      <c r="E22" t="s">
        <v>64</v>
      </c>
      <c r="F22">
        <f t="shared" si="2"/>
        <v>1</v>
      </c>
      <c r="G22">
        <f t="shared" si="3"/>
        <v>1</v>
      </c>
      <c r="H22">
        <f t="shared" si="4"/>
        <v>0</v>
      </c>
      <c r="I22">
        <f t="shared" si="5"/>
        <v>0</v>
      </c>
      <c r="J22">
        <f t="shared" si="6"/>
        <v>1</v>
      </c>
      <c r="K22">
        <f t="shared" si="7"/>
        <v>1</v>
      </c>
      <c r="L22" t="b">
        <f t="shared" si="8"/>
        <v>1</v>
      </c>
      <c r="M22" t="b">
        <f t="shared" si="9"/>
        <v>1</v>
      </c>
    </row>
    <row r="23" spans="1:22" ht="15.75" thickBot="1" x14ac:dyDescent="0.3">
      <c r="B23" s="18" t="s">
        <v>84</v>
      </c>
      <c r="C23" s="19">
        <v>3</v>
      </c>
      <c r="D23" s="19">
        <v>3</v>
      </c>
      <c r="E23" t="s">
        <v>102</v>
      </c>
      <c r="F23">
        <f t="shared" si="2"/>
        <v>3</v>
      </c>
      <c r="G23">
        <f t="shared" si="3"/>
        <v>3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0</v>
      </c>
      <c r="L23" t="b">
        <f t="shared" si="8"/>
        <v>1</v>
      </c>
      <c r="M23" t="b">
        <f t="shared" si="9"/>
        <v>1</v>
      </c>
    </row>
    <row r="24" spans="1:22" ht="15.75" thickBot="1" x14ac:dyDescent="0.3">
      <c r="B24" s="18" t="s">
        <v>85</v>
      </c>
      <c r="C24" s="19">
        <v>11</v>
      </c>
      <c r="D24" s="19">
        <v>11</v>
      </c>
      <c r="E24" t="s">
        <v>64</v>
      </c>
      <c r="F24">
        <f t="shared" si="2"/>
        <v>1</v>
      </c>
      <c r="G24">
        <f t="shared" si="3"/>
        <v>1</v>
      </c>
      <c r="H24">
        <f t="shared" si="4"/>
        <v>0</v>
      </c>
      <c r="I24">
        <f t="shared" si="5"/>
        <v>0</v>
      </c>
      <c r="J24">
        <f t="shared" si="6"/>
        <v>1</v>
      </c>
      <c r="K24">
        <f t="shared" si="7"/>
        <v>1</v>
      </c>
      <c r="L24" t="b">
        <f t="shared" si="8"/>
        <v>1</v>
      </c>
      <c r="M24" t="b">
        <f t="shared" si="9"/>
        <v>1</v>
      </c>
    </row>
    <row r="25" spans="1:22" ht="15.75" thickBot="1" x14ac:dyDescent="0.3">
      <c r="A25" t="s">
        <v>109</v>
      </c>
      <c r="B25" s="18" t="s">
        <v>86</v>
      </c>
      <c r="C25" s="19">
        <v>21</v>
      </c>
      <c r="D25" s="19">
        <v>22</v>
      </c>
      <c r="E25" t="s">
        <v>64</v>
      </c>
      <c r="F25">
        <f t="shared" si="2"/>
        <v>1</v>
      </c>
      <c r="G25">
        <f t="shared" si="3"/>
        <v>2</v>
      </c>
      <c r="H25">
        <f t="shared" si="4"/>
        <v>0</v>
      </c>
      <c r="I25">
        <f t="shared" si="5"/>
        <v>0</v>
      </c>
      <c r="J25">
        <f t="shared" si="6"/>
        <v>2</v>
      </c>
      <c r="K25">
        <f t="shared" si="7"/>
        <v>2</v>
      </c>
      <c r="L25" t="b">
        <f t="shared" si="8"/>
        <v>1</v>
      </c>
      <c r="M25" t="b">
        <f t="shared" si="9"/>
        <v>0</v>
      </c>
    </row>
    <row r="26" spans="1:22" ht="15.75" thickBot="1" x14ac:dyDescent="0.3">
      <c r="B26" s="18" t="s">
        <v>87</v>
      </c>
      <c r="C26" s="19">
        <v>1</v>
      </c>
      <c r="D26" s="19">
        <v>2</v>
      </c>
      <c r="E26" t="s">
        <v>64</v>
      </c>
      <c r="F26">
        <f t="shared" si="2"/>
        <v>1</v>
      </c>
      <c r="G26">
        <f t="shared" si="3"/>
        <v>2</v>
      </c>
      <c r="H26">
        <f t="shared" si="4"/>
        <v>0</v>
      </c>
      <c r="I26">
        <f t="shared" si="5"/>
        <v>0</v>
      </c>
      <c r="J26">
        <f t="shared" si="6"/>
        <v>0</v>
      </c>
      <c r="K26">
        <f t="shared" si="7"/>
        <v>0</v>
      </c>
      <c r="L26" t="b">
        <f t="shared" si="8"/>
        <v>1</v>
      </c>
      <c r="M26" t="b">
        <f t="shared" si="9"/>
        <v>0</v>
      </c>
    </row>
    <row r="27" spans="1:22" ht="15.75" thickBot="1" x14ac:dyDescent="0.3">
      <c r="B27" s="18" t="s">
        <v>88</v>
      </c>
      <c r="C27" s="19">
        <v>23</v>
      </c>
      <c r="D27" s="19">
        <v>24</v>
      </c>
      <c r="E27" t="s">
        <v>64</v>
      </c>
      <c r="F27">
        <f t="shared" si="2"/>
        <v>3</v>
      </c>
      <c r="G27">
        <f t="shared" si="3"/>
        <v>4</v>
      </c>
      <c r="H27">
        <f t="shared" si="4"/>
        <v>0</v>
      </c>
      <c r="I27">
        <f t="shared" si="5"/>
        <v>0</v>
      </c>
      <c r="J27">
        <f t="shared" si="6"/>
        <v>2</v>
      </c>
      <c r="K27">
        <f t="shared" si="7"/>
        <v>2</v>
      </c>
      <c r="L27" t="b">
        <f t="shared" si="8"/>
        <v>1</v>
      </c>
      <c r="M27" t="b">
        <f t="shared" si="9"/>
        <v>0</v>
      </c>
    </row>
    <row r="28" spans="1:22" ht="15.75" thickBot="1" x14ac:dyDescent="0.3">
      <c r="B28" s="18" t="s">
        <v>89</v>
      </c>
      <c r="C28" s="19">
        <v>1</v>
      </c>
      <c r="D28" s="19">
        <v>2</v>
      </c>
      <c r="E28" t="s">
        <v>64</v>
      </c>
      <c r="F28">
        <f t="shared" si="2"/>
        <v>1</v>
      </c>
      <c r="G28">
        <f t="shared" si="3"/>
        <v>2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 t="b">
        <f t="shared" si="8"/>
        <v>1</v>
      </c>
      <c r="M28" t="b">
        <f t="shared" si="9"/>
        <v>0</v>
      </c>
    </row>
    <row r="29" spans="1:22" ht="15.75" thickBot="1" x14ac:dyDescent="0.3">
      <c r="B29" s="18" t="s">
        <v>90</v>
      </c>
      <c r="C29" s="19">
        <v>7</v>
      </c>
      <c r="D29" s="19">
        <v>7</v>
      </c>
      <c r="E29" t="s">
        <v>103</v>
      </c>
      <c r="F29">
        <f t="shared" si="2"/>
        <v>7</v>
      </c>
      <c r="G29">
        <f t="shared" si="3"/>
        <v>7</v>
      </c>
      <c r="H29">
        <f t="shared" si="4"/>
        <v>0</v>
      </c>
      <c r="I29">
        <f t="shared" si="5"/>
        <v>0</v>
      </c>
      <c r="J29">
        <f t="shared" si="6"/>
        <v>0</v>
      </c>
      <c r="K29">
        <f t="shared" si="7"/>
        <v>0</v>
      </c>
      <c r="L29" t="b">
        <f t="shared" si="8"/>
        <v>1</v>
      </c>
      <c r="M29" t="b">
        <f t="shared" si="9"/>
        <v>1</v>
      </c>
    </row>
    <row r="30" spans="1:22" ht="15.75" thickBot="1" x14ac:dyDescent="0.3">
      <c r="B30" s="18" t="s">
        <v>91</v>
      </c>
      <c r="C30" s="19">
        <v>11</v>
      </c>
      <c r="D30" s="19">
        <v>12</v>
      </c>
      <c r="E30" t="s">
        <v>64</v>
      </c>
      <c r="F30">
        <f t="shared" si="2"/>
        <v>1</v>
      </c>
      <c r="G30">
        <f t="shared" si="3"/>
        <v>2</v>
      </c>
      <c r="H30">
        <f t="shared" si="4"/>
        <v>0</v>
      </c>
      <c r="I30">
        <f t="shared" si="5"/>
        <v>0</v>
      </c>
      <c r="J30">
        <f t="shared" si="6"/>
        <v>1</v>
      </c>
      <c r="K30">
        <f t="shared" si="7"/>
        <v>1</v>
      </c>
      <c r="L30" t="b">
        <f t="shared" si="8"/>
        <v>1</v>
      </c>
      <c r="M30" t="b">
        <f t="shared" si="9"/>
        <v>0</v>
      </c>
    </row>
    <row r="31" spans="1:22" ht="15.75" thickBot="1" x14ac:dyDescent="0.3">
      <c r="B31" s="18" t="s">
        <v>92</v>
      </c>
      <c r="C31" s="19">
        <v>21</v>
      </c>
      <c r="D31" s="19">
        <v>22</v>
      </c>
      <c r="E31" t="s">
        <v>64</v>
      </c>
      <c r="F31">
        <f t="shared" si="2"/>
        <v>1</v>
      </c>
      <c r="G31">
        <f t="shared" si="3"/>
        <v>2</v>
      </c>
      <c r="H31">
        <f t="shared" si="4"/>
        <v>0</v>
      </c>
      <c r="I31">
        <f t="shared" si="5"/>
        <v>0</v>
      </c>
      <c r="J31">
        <f t="shared" si="6"/>
        <v>2</v>
      </c>
      <c r="K31">
        <f t="shared" si="7"/>
        <v>2</v>
      </c>
      <c r="L31" t="b">
        <f t="shared" si="8"/>
        <v>1</v>
      </c>
      <c r="M31" t="b">
        <f t="shared" si="9"/>
        <v>0</v>
      </c>
    </row>
    <row r="32" spans="1:22" ht="15.75" thickBot="1" x14ac:dyDescent="0.3">
      <c r="B32" s="18" t="s">
        <v>71</v>
      </c>
      <c r="C32" s="19">
        <v>1</v>
      </c>
      <c r="D32" s="19">
        <v>2</v>
      </c>
      <c r="E32" t="s">
        <v>64</v>
      </c>
      <c r="F32">
        <f t="shared" si="2"/>
        <v>1</v>
      </c>
      <c r="G32">
        <f t="shared" si="3"/>
        <v>2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7"/>
        <v>0</v>
      </c>
      <c r="L32" t="b">
        <f t="shared" si="8"/>
        <v>1</v>
      </c>
      <c r="M32" t="b">
        <f t="shared" si="9"/>
        <v>0</v>
      </c>
    </row>
    <row r="33" spans="2:15" ht="15.75" thickBot="1" x14ac:dyDescent="0.3">
      <c r="B33" s="18" t="s">
        <v>93</v>
      </c>
      <c r="C33" s="19">
        <v>11</v>
      </c>
      <c r="D33" s="19">
        <v>12</v>
      </c>
      <c r="E33" t="s">
        <v>64</v>
      </c>
      <c r="F33">
        <f t="shared" si="2"/>
        <v>1</v>
      </c>
      <c r="G33">
        <f t="shared" si="3"/>
        <v>2</v>
      </c>
      <c r="H33">
        <f t="shared" si="4"/>
        <v>0</v>
      </c>
      <c r="I33">
        <f t="shared" si="5"/>
        <v>0</v>
      </c>
      <c r="J33">
        <f t="shared" si="6"/>
        <v>1</v>
      </c>
      <c r="K33">
        <f t="shared" si="7"/>
        <v>1</v>
      </c>
      <c r="L33" t="b">
        <f t="shared" si="8"/>
        <v>1</v>
      </c>
      <c r="M33" t="b">
        <f t="shared" si="9"/>
        <v>0</v>
      </c>
    </row>
    <row r="34" spans="2:15" ht="15.75" thickBot="1" x14ac:dyDescent="0.3">
      <c r="B34" s="18" t="s">
        <v>94</v>
      </c>
      <c r="C34" s="19">
        <v>27</v>
      </c>
      <c r="D34" s="19">
        <v>28</v>
      </c>
      <c r="E34" t="s">
        <v>64</v>
      </c>
      <c r="F34">
        <f t="shared" si="2"/>
        <v>7</v>
      </c>
      <c r="G34">
        <f t="shared" si="3"/>
        <v>8</v>
      </c>
      <c r="H34">
        <f t="shared" si="4"/>
        <v>0</v>
      </c>
      <c r="I34">
        <f t="shared" si="5"/>
        <v>0</v>
      </c>
      <c r="J34">
        <f t="shared" si="6"/>
        <v>2</v>
      </c>
      <c r="K34">
        <f t="shared" si="7"/>
        <v>2</v>
      </c>
      <c r="L34" t="b">
        <f t="shared" si="8"/>
        <v>1</v>
      </c>
      <c r="M34" t="b">
        <f t="shared" si="9"/>
        <v>0</v>
      </c>
    </row>
    <row r="35" spans="2:15" ht="15.75" thickBot="1" x14ac:dyDescent="0.3">
      <c r="B35" s="18" t="s">
        <v>82</v>
      </c>
      <c r="C35" s="19">
        <v>16</v>
      </c>
      <c r="D35" s="19">
        <v>17</v>
      </c>
      <c r="E35" t="s">
        <v>64</v>
      </c>
      <c r="F35">
        <f t="shared" si="2"/>
        <v>6</v>
      </c>
      <c r="G35">
        <f t="shared" si="3"/>
        <v>7</v>
      </c>
      <c r="H35">
        <f t="shared" si="4"/>
        <v>0</v>
      </c>
      <c r="I35">
        <f t="shared" si="5"/>
        <v>0</v>
      </c>
      <c r="J35">
        <f t="shared" si="6"/>
        <v>1</v>
      </c>
      <c r="K35">
        <f t="shared" si="7"/>
        <v>1</v>
      </c>
      <c r="L35" t="b">
        <f t="shared" si="8"/>
        <v>0</v>
      </c>
      <c r="M35" t="b">
        <f t="shared" si="9"/>
        <v>1</v>
      </c>
    </row>
    <row r="36" spans="2:15" ht="15.75" thickBot="1" x14ac:dyDescent="0.3">
      <c r="B36" s="18" t="s">
        <v>73</v>
      </c>
      <c r="C36" s="19">
        <v>15</v>
      </c>
      <c r="D36" s="19">
        <v>16</v>
      </c>
      <c r="E36" t="s">
        <v>64</v>
      </c>
      <c r="F36">
        <f t="shared" si="2"/>
        <v>5</v>
      </c>
      <c r="G36">
        <f t="shared" si="3"/>
        <v>6</v>
      </c>
      <c r="H36">
        <f t="shared" si="4"/>
        <v>1</v>
      </c>
      <c r="I36">
        <f t="shared" si="5"/>
        <v>0</v>
      </c>
      <c r="J36">
        <f t="shared" si="6"/>
        <v>1</v>
      </c>
      <c r="K36">
        <f t="shared" si="7"/>
        <v>1</v>
      </c>
      <c r="L36" t="b">
        <f t="shared" si="8"/>
        <v>1</v>
      </c>
      <c r="M36" t="b">
        <f t="shared" si="9"/>
        <v>0</v>
      </c>
    </row>
    <row r="37" spans="2:15" ht="15.75" thickBot="1" x14ac:dyDescent="0.3">
      <c r="B37" s="18" t="s">
        <v>95</v>
      </c>
      <c r="C37" s="19">
        <v>41</v>
      </c>
      <c r="D37" s="19">
        <v>41</v>
      </c>
      <c r="E37" t="s">
        <v>64</v>
      </c>
      <c r="F37">
        <f t="shared" si="2"/>
        <v>1</v>
      </c>
      <c r="G37">
        <f t="shared" si="3"/>
        <v>1</v>
      </c>
      <c r="H37">
        <f t="shared" si="4"/>
        <v>0</v>
      </c>
      <c r="I37">
        <f t="shared" si="5"/>
        <v>0</v>
      </c>
      <c r="J37">
        <f t="shared" si="6"/>
        <v>4</v>
      </c>
      <c r="K37">
        <f t="shared" si="7"/>
        <v>4</v>
      </c>
      <c r="L37" t="b">
        <f t="shared" si="8"/>
        <v>1</v>
      </c>
      <c r="M37" t="b">
        <f t="shared" si="9"/>
        <v>1</v>
      </c>
    </row>
    <row r="38" spans="2:15" ht="15.75" thickBot="1" x14ac:dyDescent="0.3">
      <c r="B38" s="18" t="s">
        <v>96</v>
      </c>
      <c r="C38" s="19">
        <v>6</v>
      </c>
      <c r="D38" s="19">
        <v>6</v>
      </c>
      <c r="E38" t="s">
        <v>102</v>
      </c>
      <c r="F38">
        <f t="shared" si="2"/>
        <v>6</v>
      </c>
      <c r="G38">
        <f t="shared" si="3"/>
        <v>6</v>
      </c>
      <c r="H38">
        <f t="shared" si="4"/>
        <v>0</v>
      </c>
      <c r="I38">
        <f t="shared" si="5"/>
        <v>0</v>
      </c>
      <c r="J38">
        <f t="shared" si="6"/>
        <v>0</v>
      </c>
      <c r="K38">
        <f t="shared" si="7"/>
        <v>0</v>
      </c>
      <c r="L38" t="b">
        <f t="shared" si="8"/>
        <v>0</v>
      </c>
      <c r="M38" t="b">
        <f t="shared" si="9"/>
        <v>0</v>
      </c>
    </row>
    <row r="39" spans="2:15" ht="15.75" thickBot="1" x14ac:dyDescent="0.3">
      <c r="B39" s="18" t="s">
        <v>97</v>
      </c>
      <c r="C39" s="19">
        <v>1</v>
      </c>
      <c r="D39" s="19">
        <v>1</v>
      </c>
      <c r="E39" t="s">
        <v>102</v>
      </c>
      <c r="F39">
        <f t="shared" si="2"/>
        <v>1</v>
      </c>
      <c r="G39">
        <f t="shared" si="3"/>
        <v>1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0</v>
      </c>
      <c r="L39" t="b">
        <f t="shared" si="8"/>
        <v>1</v>
      </c>
      <c r="M39" t="b">
        <f t="shared" si="9"/>
        <v>1</v>
      </c>
    </row>
    <row r="40" spans="2:15" ht="15.75" thickBot="1" x14ac:dyDescent="0.3">
      <c r="B40" s="18" t="s">
        <v>98</v>
      </c>
      <c r="C40" s="19">
        <v>10</v>
      </c>
      <c r="D40" s="19">
        <v>10</v>
      </c>
      <c r="E40" t="s">
        <v>64</v>
      </c>
      <c r="F40">
        <f t="shared" si="2"/>
        <v>0</v>
      </c>
      <c r="G40">
        <f t="shared" si="3"/>
        <v>0</v>
      </c>
      <c r="H40">
        <f t="shared" si="4"/>
        <v>1</v>
      </c>
      <c r="I40">
        <f t="shared" si="5"/>
        <v>1</v>
      </c>
      <c r="J40">
        <f t="shared" si="6"/>
        <v>1</v>
      </c>
      <c r="K40">
        <f t="shared" si="7"/>
        <v>1</v>
      </c>
      <c r="L40" t="b">
        <f t="shared" si="8"/>
        <v>0</v>
      </c>
      <c r="M40" t="b">
        <f t="shared" si="9"/>
        <v>0</v>
      </c>
    </row>
    <row r="41" spans="2:15" ht="15.75" thickBot="1" x14ac:dyDescent="0.3">
      <c r="B41" s="18" t="s">
        <v>99</v>
      </c>
      <c r="C41" s="19">
        <v>2</v>
      </c>
      <c r="D41" s="19">
        <v>2</v>
      </c>
      <c r="E41" t="s">
        <v>64</v>
      </c>
      <c r="F41">
        <f t="shared" si="2"/>
        <v>2</v>
      </c>
      <c r="G41">
        <f t="shared" si="3"/>
        <v>2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0</v>
      </c>
      <c r="L41" t="b">
        <f t="shared" si="8"/>
        <v>0</v>
      </c>
      <c r="M41" t="b">
        <f t="shared" si="9"/>
        <v>0</v>
      </c>
    </row>
    <row r="42" spans="2:15" ht="15.75" thickBot="1" x14ac:dyDescent="0.3">
      <c r="B42" s="18" t="s">
        <v>100</v>
      </c>
      <c r="C42" s="16">
        <v>20</v>
      </c>
      <c r="D42" s="16">
        <v>20</v>
      </c>
      <c r="E42" t="s">
        <v>64</v>
      </c>
      <c r="F42">
        <f t="shared" si="2"/>
        <v>0</v>
      </c>
      <c r="G42">
        <f t="shared" si="3"/>
        <v>0</v>
      </c>
      <c r="H42">
        <f t="shared" si="4"/>
        <v>1</v>
      </c>
      <c r="I42">
        <f t="shared" si="5"/>
        <v>1</v>
      </c>
      <c r="J42">
        <f t="shared" si="6"/>
        <v>2</v>
      </c>
      <c r="K42">
        <f t="shared" si="7"/>
        <v>2</v>
      </c>
      <c r="L42" t="b">
        <f t="shared" si="8"/>
        <v>0</v>
      </c>
      <c r="M42" t="b">
        <f t="shared" si="9"/>
        <v>0</v>
      </c>
    </row>
    <row r="43" spans="2:15" ht="15.75" thickBot="1" x14ac:dyDescent="0.3">
      <c r="B43" s="18" t="s">
        <v>101</v>
      </c>
      <c r="C43" s="19">
        <v>9</v>
      </c>
      <c r="D43" s="19">
        <v>9</v>
      </c>
      <c r="E43" t="s">
        <v>64</v>
      </c>
      <c r="F43">
        <f t="shared" si="2"/>
        <v>9</v>
      </c>
      <c r="G43">
        <f t="shared" si="3"/>
        <v>9</v>
      </c>
      <c r="H43">
        <f t="shared" si="4"/>
        <v>0</v>
      </c>
      <c r="I43">
        <f t="shared" si="5"/>
        <v>0</v>
      </c>
      <c r="J43">
        <f t="shared" si="6"/>
        <v>0</v>
      </c>
      <c r="K43">
        <f t="shared" si="7"/>
        <v>0</v>
      </c>
      <c r="L43" t="b">
        <f t="shared" si="8"/>
        <v>1</v>
      </c>
      <c r="M43" t="b">
        <f t="shared" si="9"/>
        <v>1</v>
      </c>
    </row>
    <row r="44" spans="2:15" x14ac:dyDescent="0.25">
      <c r="B44" s="22"/>
      <c r="C44" s="23"/>
      <c r="D44" s="23"/>
    </row>
    <row r="45" spans="2:15" x14ac:dyDescent="0.25">
      <c r="G45" t="s">
        <v>49</v>
      </c>
      <c r="H45">
        <f>(SUM(H5:H43)/39)*100</f>
        <v>12.820512820512819</v>
      </c>
      <c r="I45">
        <f>(SUM(I5:I43)/39)*100</f>
        <v>17.948717948717949</v>
      </c>
    </row>
    <row r="46" spans="2:15" x14ac:dyDescent="0.25">
      <c r="G46">
        <v>39</v>
      </c>
      <c r="N46">
        <f>COUNTIF(L5:L43, TRUE)</f>
        <v>29</v>
      </c>
      <c r="O46">
        <f>COUNTIF(M5:M43, TRUE)</f>
        <v>17</v>
      </c>
    </row>
    <row r="47" spans="2:15" x14ac:dyDescent="0.25">
      <c r="N47">
        <f>COUNTIF(L5:L43, FALSE)</f>
        <v>10</v>
      </c>
      <c r="O47">
        <f>COUNTIF(M5:M43, FALSE)</f>
        <v>22</v>
      </c>
    </row>
  </sheetData>
  <mergeCells count="5">
    <mergeCell ref="C3:D3"/>
    <mergeCell ref="F3:G3"/>
    <mergeCell ref="H3:I3"/>
    <mergeCell ref="J3:K3"/>
    <mergeCell ref="L3:M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D7DA-393D-46A1-AEA6-7E82D3F4C709}">
  <dimension ref="B1:L86"/>
  <sheetViews>
    <sheetView zoomScale="55" zoomScaleNormal="55" workbookViewId="0">
      <selection activeCell="D39" sqref="D39"/>
    </sheetView>
  </sheetViews>
  <sheetFormatPr defaultRowHeight="15" x14ac:dyDescent="0.25"/>
  <cols>
    <col min="2" max="2" width="15.7109375" customWidth="1"/>
    <col min="3" max="3" width="20.7109375" customWidth="1"/>
    <col min="4" max="4" width="31" customWidth="1"/>
    <col min="5" max="5" width="25.7109375" customWidth="1"/>
    <col min="6" max="6" width="22.85546875" customWidth="1"/>
    <col min="7" max="7" width="11.7109375" bestFit="1" customWidth="1"/>
    <col min="9" max="9" width="17.7109375" customWidth="1"/>
    <col min="10" max="10" width="18.28515625" customWidth="1"/>
  </cols>
  <sheetData>
    <row r="1" spans="2:5" ht="15.75" thickBot="1" x14ac:dyDescent="0.3"/>
    <row r="2" spans="2:5" ht="15.75" thickBot="1" x14ac:dyDescent="0.3">
      <c r="B2" s="11" t="s">
        <v>32</v>
      </c>
      <c r="C2" s="11" t="s">
        <v>33</v>
      </c>
      <c r="D2" s="11" t="s">
        <v>34</v>
      </c>
      <c r="E2" s="11" t="s">
        <v>35</v>
      </c>
    </row>
    <row r="3" spans="2:5" x14ac:dyDescent="0.25">
      <c r="B3" s="12" t="s">
        <v>36</v>
      </c>
      <c r="C3" s="14">
        <v>67200</v>
      </c>
      <c r="D3" s="14">
        <v>28800</v>
      </c>
      <c r="E3" s="14">
        <v>36000</v>
      </c>
    </row>
    <row r="4" spans="2:5" x14ac:dyDescent="0.25">
      <c r="B4" s="12" t="s">
        <v>37</v>
      </c>
      <c r="C4" s="14">
        <v>72000</v>
      </c>
      <c r="D4" s="14">
        <v>36000</v>
      </c>
      <c r="E4" s="14">
        <v>10800</v>
      </c>
    </row>
    <row r="5" spans="2:5" x14ac:dyDescent="0.25">
      <c r="B5" s="12" t="s">
        <v>38</v>
      </c>
      <c r="C5" s="14">
        <v>21600</v>
      </c>
      <c r="D5" s="14">
        <v>43200</v>
      </c>
      <c r="E5" s="14">
        <v>46800</v>
      </c>
    </row>
    <row r="6" spans="2:5" x14ac:dyDescent="0.25">
      <c r="B6" s="12" t="s">
        <v>39</v>
      </c>
      <c r="C6" s="12"/>
      <c r="D6" s="14">
        <v>28800</v>
      </c>
      <c r="E6" s="14">
        <v>64800</v>
      </c>
    </row>
    <row r="7" spans="2:5" x14ac:dyDescent="0.25">
      <c r="B7" s="12" t="s">
        <v>40</v>
      </c>
      <c r="C7" s="14">
        <v>72000</v>
      </c>
      <c r="D7" s="12"/>
      <c r="E7" s="12"/>
    </row>
    <row r="8" spans="2:5" x14ac:dyDescent="0.25">
      <c r="B8" s="12" t="s">
        <v>41</v>
      </c>
      <c r="C8" s="14">
        <v>21600</v>
      </c>
      <c r="D8" s="12"/>
      <c r="E8" s="12"/>
    </row>
    <row r="9" spans="2:5" x14ac:dyDescent="0.25">
      <c r="B9" s="12" t="s">
        <v>42</v>
      </c>
      <c r="C9" s="12"/>
      <c r="D9" s="12"/>
      <c r="E9" s="14">
        <v>64800</v>
      </c>
    </row>
    <row r="10" spans="2:5" x14ac:dyDescent="0.25">
      <c r="B10" s="12" t="s">
        <v>43</v>
      </c>
      <c r="C10" s="12"/>
      <c r="D10" s="12"/>
      <c r="E10" s="14">
        <v>43200</v>
      </c>
    </row>
    <row r="11" spans="2:5" x14ac:dyDescent="0.25">
      <c r="B11" s="12" t="s">
        <v>44</v>
      </c>
      <c r="C11" s="14">
        <v>28800</v>
      </c>
      <c r="D11" s="14">
        <v>36000</v>
      </c>
      <c r="E11" s="14">
        <v>36000</v>
      </c>
    </row>
    <row r="12" spans="2:5" x14ac:dyDescent="0.25">
      <c r="B12" s="12" t="s">
        <v>45</v>
      </c>
      <c r="C12" s="14">
        <v>36000</v>
      </c>
      <c r="D12" s="14">
        <v>28800</v>
      </c>
      <c r="E12" s="14">
        <v>36000</v>
      </c>
    </row>
    <row r="13" spans="2:5" x14ac:dyDescent="0.25">
      <c r="B13" s="12" t="s">
        <v>46</v>
      </c>
      <c r="C13" s="14">
        <v>72000</v>
      </c>
      <c r="D13" s="14">
        <v>21000</v>
      </c>
      <c r="E13" s="12"/>
    </row>
    <row r="14" spans="2:5" x14ac:dyDescent="0.25">
      <c r="B14" s="12" t="s">
        <v>47</v>
      </c>
      <c r="C14" s="14">
        <v>28800</v>
      </c>
      <c r="D14" s="14">
        <v>18600</v>
      </c>
      <c r="E14" s="14">
        <v>28800</v>
      </c>
    </row>
    <row r="15" spans="2:5" ht="15.75" thickBot="1" x14ac:dyDescent="0.3">
      <c r="B15" s="13" t="s">
        <v>48</v>
      </c>
      <c r="C15" s="15">
        <v>36000</v>
      </c>
      <c r="D15" s="13"/>
      <c r="E15" s="15">
        <v>64800</v>
      </c>
    </row>
    <row r="16" spans="2:5" x14ac:dyDescent="0.25">
      <c r="B16" s="12" t="s">
        <v>49</v>
      </c>
      <c r="C16" s="14">
        <v>457200</v>
      </c>
      <c r="D16" s="14">
        <v>241200</v>
      </c>
      <c r="E16" s="14">
        <v>432000</v>
      </c>
    </row>
    <row r="17" spans="2:5" x14ac:dyDescent="0.25">
      <c r="B17" s="12" t="s">
        <v>50</v>
      </c>
      <c r="C17" s="12" t="s">
        <v>51</v>
      </c>
      <c r="D17" s="12" t="s">
        <v>52</v>
      </c>
      <c r="E17" s="12" t="s">
        <v>53</v>
      </c>
    </row>
    <row r="18" spans="2:5" x14ac:dyDescent="0.25">
      <c r="B18" s="12" t="s">
        <v>50</v>
      </c>
      <c r="C18" s="12" t="s">
        <v>54</v>
      </c>
      <c r="D18" s="12" t="s">
        <v>55</v>
      </c>
      <c r="E18" s="12" t="s">
        <v>56</v>
      </c>
    </row>
    <row r="19" spans="2:5" ht="15.75" thickBot="1" x14ac:dyDescent="0.3">
      <c r="B19" s="13" t="s">
        <v>50</v>
      </c>
      <c r="C19" s="13" t="s">
        <v>57</v>
      </c>
      <c r="D19" s="13" t="s">
        <v>58</v>
      </c>
      <c r="E19" s="13" t="s">
        <v>59</v>
      </c>
    </row>
    <row r="37" spans="3:12" x14ac:dyDescent="0.25">
      <c r="C37" t="s">
        <v>33</v>
      </c>
      <c r="F37" t="s">
        <v>119</v>
      </c>
    </row>
    <row r="38" spans="3:12" x14ac:dyDescent="0.25">
      <c r="C38" s="14">
        <v>67200</v>
      </c>
      <c r="D38" s="24">
        <f>(C38-$D$48)^2</f>
        <v>466560000</v>
      </c>
      <c r="F38" s="6">
        <v>930</v>
      </c>
      <c r="G38" s="24">
        <f t="shared" ref="G38:G43" si="0">(F38-$G$48)^2</f>
        <v>5256.25</v>
      </c>
    </row>
    <row r="39" spans="3:12" x14ac:dyDescent="0.25">
      <c r="C39" s="14">
        <v>72000</v>
      </c>
      <c r="D39" s="24">
        <f t="shared" ref="D38:D47" si="1">(C39-$D$48)^2</f>
        <v>696960000</v>
      </c>
      <c r="F39" s="6">
        <v>912</v>
      </c>
      <c r="G39" s="24">
        <f t="shared" si="0"/>
        <v>2970.25</v>
      </c>
      <c r="I39" s="6">
        <v>930</v>
      </c>
      <c r="J39" s="24">
        <f t="shared" ref="J39:J47" si="2">(I39-$G$48)^2</f>
        <v>5256.25</v>
      </c>
      <c r="K39" s="6"/>
      <c r="L39" s="6"/>
    </row>
    <row r="40" spans="3:12" x14ac:dyDescent="0.25">
      <c r="C40" s="14">
        <v>21600</v>
      </c>
      <c r="D40" s="24">
        <f t="shared" si="1"/>
        <v>576000000</v>
      </c>
      <c r="F40" s="6">
        <v>905</v>
      </c>
      <c r="G40" s="24">
        <f t="shared" si="0"/>
        <v>2256.25</v>
      </c>
      <c r="I40" s="6">
        <v>912</v>
      </c>
      <c r="J40" s="24">
        <f t="shared" si="2"/>
        <v>2970.25</v>
      </c>
      <c r="K40" s="6"/>
      <c r="L40" s="6"/>
    </row>
    <row r="41" spans="3:12" x14ac:dyDescent="0.25">
      <c r="C41" s="14">
        <v>72000</v>
      </c>
      <c r="D41" s="24">
        <f t="shared" si="1"/>
        <v>696960000</v>
      </c>
      <c r="F41" s="6">
        <v>910</v>
      </c>
      <c r="G41" s="24">
        <f t="shared" si="0"/>
        <v>2756.25</v>
      </c>
      <c r="I41" s="6">
        <v>905</v>
      </c>
      <c r="J41" s="24">
        <f t="shared" si="2"/>
        <v>2256.25</v>
      </c>
      <c r="K41" s="6"/>
      <c r="L41" s="6"/>
    </row>
    <row r="42" spans="3:12" x14ac:dyDescent="0.25">
      <c r="C42" s="14">
        <v>21600</v>
      </c>
      <c r="D42" s="24">
        <f t="shared" si="1"/>
        <v>576000000</v>
      </c>
      <c r="F42" s="6">
        <v>895</v>
      </c>
      <c r="G42" s="24">
        <f t="shared" si="0"/>
        <v>1406.25</v>
      </c>
      <c r="I42" s="6">
        <v>910</v>
      </c>
      <c r="J42" s="24">
        <f t="shared" si="2"/>
        <v>2756.25</v>
      </c>
      <c r="K42" s="6"/>
      <c r="L42" s="6"/>
    </row>
    <row r="43" spans="3:12" x14ac:dyDescent="0.25">
      <c r="C43" s="14">
        <v>28800</v>
      </c>
      <c r="D43" s="24">
        <f t="shared" si="1"/>
        <v>282240000</v>
      </c>
      <c r="F43" s="6">
        <v>962</v>
      </c>
      <c r="G43" s="24">
        <f t="shared" si="0"/>
        <v>10920.25</v>
      </c>
      <c r="I43" s="6">
        <v>895</v>
      </c>
      <c r="J43" s="24">
        <f t="shared" si="2"/>
        <v>1406.25</v>
      </c>
      <c r="K43" s="6"/>
      <c r="L43" s="6"/>
    </row>
    <row r="44" spans="3:12" x14ac:dyDescent="0.25">
      <c r="C44" s="14">
        <v>36000</v>
      </c>
      <c r="D44" s="24">
        <f t="shared" si="1"/>
        <v>92160000</v>
      </c>
      <c r="F44" s="6">
        <v>365</v>
      </c>
      <c r="G44" s="24">
        <f t="shared" ref="G44" si="3">(F44-$G$48)^2</f>
        <v>242556.25</v>
      </c>
      <c r="I44" s="6">
        <v>962</v>
      </c>
      <c r="J44" s="24">
        <f t="shared" si="2"/>
        <v>10920.25</v>
      </c>
      <c r="K44" s="6"/>
      <c r="L44" s="6"/>
    </row>
    <row r="45" spans="3:12" x14ac:dyDescent="0.25">
      <c r="C45" s="14">
        <v>72000</v>
      </c>
      <c r="D45" s="24">
        <f t="shared" si="1"/>
        <v>696960000</v>
      </c>
      <c r="F45" s="6">
        <v>969</v>
      </c>
      <c r="G45" s="24">
        <f>(F45-$G$48)^2</f>
        <v>12432.25</v>
      </c>
      <c r="I45" s="6">
        <v>969</v>
      </c>
      <c r="J45" s="24">
        <f t="shared" si="2"/>
        <v>12432.25</v>
      </c>
      <c r="K45" s="6"/>
      <c r="L45" s="6"/>
    </row>
    <row r="46" spans="3:12" x14ac:dyDescent="0.25">
      <c r="C46" s="14">
        <v>28800</v>
      </c>
      <c r="D46" s="24">
        <f t="shared" si="1"/>
        <v>282240000</v>
      </c>
      <c r="F46" s="6">
        <v>777</v>
      </c>
      <c r="G46" s="24">
        <f>(F46-$G$48)^2</f>
        <v>6480.25</v>
      </c>
      <c r="I46" s="6">
        <v>777</v>
      </c>
      <c r="J46" s="24">
        <f t="shared" si="2"/>
        <v>6480.25</v>
      </c>
      <c r="K46" s="6"/>
      <c r="L46" s="6"/>
    </row>
    <row r="47" spans="3:12" ht="15.75" thickBot="1" x14ac:dyDescent="0.3">
      <c r="C47" s="15">
        <v>36000</v>
      </c>
      <c r="D47" s="24">
        <f t="shared" si="1"/>
        <v>92160000</v>
      </c>
      <c r="F47" s="15">
        <v>950</v>
      </c>
      <c r="G47" s="24">
        <f>(F47-$G$48)^2</f>
        <v>8556.25</v>
      </c>
      <c r="I47" s="15">
        <v>950</v>
      </c>
      <c r="J47" s="24">
        <f t="shared" si="2"/>
        <v>8556.25</v>
      </c>
      <c r="K47" s="6"/>
      <c r="L47" s="6"/>
    </row>
    <row r="48" spans="3:12" x14ac:dyDescent="0.25">
      <c r="C48" t="s">
        <v>122</v>
      </c>
      <c r="D48" s="24">
        <f>AVERAGE(C38:C47)</f>
        <v>45600</v>
      </c>
      <c r="E48" s="24"/>
      <c r="F48" t="s">
        <v>122</v>
      </c>
      <c r="G48" s="24">
        <f>AVERAGE(F38:F47)</f>
        <v>857.5</v>
      </c>
      <c r="I48" t="s">
        <v>122</v>
      </c>
      <c r="J48" s="24">
        <f>AVERAGE(I39:I47)</f>
        <v>912.22222222222217</v>
      </c>
    </row>
    <row r="49" spans="3:12" x14ac:dyDescent="0.25">
      <c r="C49" s="14" t="s">
        <v>123</v>
      </c>
      <c r="D49" s="24">
        <f>SUM(D38:D47)</f>
        <v>4458240000</v>
      </c>
      <c r="E49" s="24"/>
      <c r="F49" s="14" t="s">
        <v>123</v>
      </c>
      <c r="G49" s="24">
        <f>SUM(G38:G47)</f>
        <v>295590.5</v>
      </c>
      <c r="I49" s="14" t="s">
        <v>123</v>
      </c>
      <c r="J49" s="24">
        <f>SUM(J39:J47)</f>
        <v>53034.25</v>
      </c>
      <c r="K49" s="6"/>
      <c r="L49" s="6"/>
    </row>
    <row r="50" spans="3:12" x14ac:dyDescent="0.25">
      <c r="C50" s="14"/>
      <c r="D50" s="24">
        <f>D49/(COUNT(D38:D47))</f>
        <v>445824000</v>
      </c>
      <c r="E50" s="24"/>
      <c r="F50" s="14"/>
      <c r="G50" s="24">
        <f>G49/(COUNT(G38:G47))</f>
        <v>29559.05</v>
      </c>
      <c r="I50" s="14"/>
      <c r="J50" s="24">
        <f>J49/(COUNT(J39:J47))</f>
        <v>5892.6944444444443</v>
      </c>
    </row>
    <row r="51" spans="3:12" x14ac:dyDescent="0.25">
      <c r="C51" s="14" t="s">
        <v>124</v>
      </c>
      <c r="D51" s="24">
        <f>D50^0.5</f>
        <v>21114.544750005858</v>
      </c>
      <c r="E51" s="24"/>
      <c r="F51" s="14" t="s">
        <v>124</v>
      </c>
      <c r="G51" s="24">
        <f t="shared" ref="G51" si="4">G50^0.5</f>
        <v>171.92745563172858</v>
      </c>
      <c r="I51" s="14" t="s">
        <v>124</v>
      </c>
      <c r="J51" s="24">
        <f>J50^0.5</f>
        <v>76.763887632430681</v>
      </c>
    </row>
    <row r="52" spans="3:12" ht="25.5" x14ac:dyDescent="0.25">
      <c r="C52" s="14" t="s">
        <v>125</v>
      </c>
      <c r="D52" s="26">
        <f>(D51/D48)*100</f>
        <v>46.303826206153197</v>
      </c>
      <c r="E52" s="24"/>
      <c r="F52" s="14" t="s">
        <v>125</v>
      </c>
      <c r="G52" s="25">
        <f t="shared" ref="G52" si="5">(G51/G48)*100</f>
        <v>20.049849053262808</v>
      </c>
      <c r="I52" s="14" t="s">
        <v>125</v>
      </c>
      <c r="J52" s="25">
        <f>(J51/J48)*100</f>
        <v>8.4150424932019021</v>
      </c>
    </row>
    <row r="53" spans="3:12" x14ac:dyDescent="0.25">
      <c r="C53" s="14"/>
      <c r="D53" s="24"/>
    </row>
    <row r="54" spans="3:12" x14ac:dyDescent="0.25">
      <c r="C54" s="14" t="s">
        <v>34</v>
      </c>
      <c r="D54" s="24"/>
      <c r="F54" s="14" t="s">
        <v>120</v>
      </c>
    </row>
    <row r="55" spans="3:12" x14ac:dyDescent="0.25">
      <c r="C55" s="14">
        <v>28800</v>
      </c>
      <c r="D55" s="24">
        <f t="shared" ref="D55:D62" si="6">(C55-$D$63)^2</f>
        <v>1822500</v>
      </c>
      <c r="F55" s="6">
        <v>930</v>
      </c>
      <c r="G55" s="24">
        <f>(F55-$G$65)^2</f>
        <v>5610.0099999999966</v>
      </c>
    </row>
    <row r="56" spans="3:12" x14ac:dyDescent="0.25">
      <c r="C56" s="14">
        <v>36000</v>
      </c>
      <c r="D56" s="24">
        <f t="shared" si="6"/>
        <v>34222500</v>
      </c>
      <c r="F56" s="6">
        <v>912</v>
      </c>
      <c r="G56" s="24">
        <f t="shared" ref="G56:G64" si="7">(F56-$G$65)^2</f>
        <v>3237.6099999999974</v>
      </c>
      <c r="I56" s="6">
        <v>930</v>
      </c>
      <c r="J56" s="24">
        <f t="shared" ref="J56:J61" si="8">(I56-$G$65)^2</f>
        <v>5610.0099999999966</v>
      </c>
    </row>
    <row r="57" spans="3:12" x14ac:dyDescent="0.25">
      <c r="C57" s="14">
        <v>43200</v>
      </c>
      <c r="D57" s="24">
        <f t="shared" si="6"/>
        <v>170302500</v>
      </c>
      <c r="F57" s="6">
        <v>905</v>
      </c>
      <c r="G57" s="24">
        <f t="shared" si="7"/>
        <v>2490.0099999999979</v>
      </c>
      <c r="I57" s="6">
        <v>912</v>
      </c>
      <c r="J57" s="24">
        <f t="shared" si="8"/>
        <v>3237.6099999999974</v>
      </c>
    </row>
    <row r="58" spans="3:12" x14ac:dyDescent="0.25">
      <c r="C58" s="14">
        <v>28800</v>
      </c>
      <c r="D58" s="24">
        <f t="shared" si="6"/>
        <v>1822500</v>
      </c>
      <c r="F58" s="6">
        <v>910</v>
      </c>
      <c r="G58" s="24">
        <f t="shared" si="7"/>
        <v>3014.0099999999975</v>
      </c>
      <c r="I58" s="6">
        <v>905</v>
      </c>
      <c r="J58" s="24">
        <f t="shared" si="8"/>
        <v>2490.0099999999979</v>
      </c>
    </row>
    <row r="59" spans="3:12" x14ac:dyDescent="0.25">
      <c r="C59" s="14">
        <v>36000</v>
      </c>
      <c r="D59" s="24">
        <f t="shared" si="6"/>
        <v>34222500</v>
      </c>
      <c r="F59" s="6">
        <v>895</v>
      </c>
      <c r="G59" s="24">
        <f t="shared" si="7"/>
        <v>1592.0099999999982</v>
      </c>
      <c r="I59" s="6">
        <v>910</v>
      </c>
      <c r="J59" s="24">
        <f t="shared" si="8"/>
        <v>3014.0099999999975</v>
      </c>
    </row>
    <row r="60" spans="3:12" x14ac:dyDescent="0.25">
      <c r="C60" s="14">
        <v>28800</v>
      </c>
      <c r="D60" s="24">
        <f t="shared" si="6"/>
        <v>1822500</v>
      </c>
      <c r="F60" s="6">
        <v>962</v>
      </c>
      <c r="G60" s="24">
        <f t="shared" si="7"/>
        <v>11427.609999999995</v>
      </c>
      <c r="I60" s="6">
        <v>895</v>
      </c>
      <c r="J60" s="24">
        <f t="shared" si="8"/>
        <v>1592.0099999999982</v>
      </c>
    </row>
    <row r="61" spans="3:12" x14ac:dyDescent="0.25">
      <c r="C61" s="14">
        <v>21000</v>
      </c>
      <c r="D61" s="24">
        <f t="shared" si="6"/>
        <v>83722500</v>
      </c>
      <c r="F61" s="6">
        <v>365</v>
      </c>
      <c r="G61" s="24">
        <f t="shared" si="7"/>
        <v>240198.01</v>
      </c>
      <c r="I61" s="6">
        <v>962</v>
      </c>
      <c r="J61" s="24">
        <f t="shared" si="8"/>
        <v>11427.609999999995</v>
      </c>
    </row>
    <row r="62" spans="3:12" ht="15.75" thickBot="1" x14ac:dyDescent="0.3">
      <c r="C62" s="15">
        <v>18600</v>
      </c>
      <c r="D62" s="24">
        <f t="shared" si="6"/>
        <v>133402500</v>
      </c>
      <c r="F62" s="6">
        <v>969</v>
      </c>
      <c r="G62" s="24">
        <f t="shared" si="7"/>
        <v>12973.209999999995</v>
      </c>
      <c r="I62" s="6">
        <v>969</v>
      </c>
      <c r="J62" s="24">
        <f t="shared" ref="J62:J64" si="9">(I62-$G$65)^2</f>
        <v>12973.209999999995</v>
      </c>
    </row>
    <row r="63" spans="3:12" x14ac:dyDescent="0.25">
      <c r="C63" t="s">
        <v>122</v>
      </c>
      <c r="D63" s="24">
        <f>AVERAGE(C55:C62)</f>
        <v>30150</v>
      </c>
      <c r="F63" s="6">
        <v>753</v>
      </c>
      <c r="G63" s="24">
        <f t="shared" si="7"/>
        <v>10424.410000000005</v>
      </c>
      <c r="I63" s="6">
        <v>753</v>
      </c>
      <c r="J63" s="24">
        <f t="shared" si="9"/>
        <v>10424.410000000005</v>
      </c>
    </row>
    <row r="64" spans="3:12" ht="15.75" thickBot="1" x14ac:dyDescent="0.3">
      <c r="C64" s="14" t="s">
        <v>123</v>
      </c>
      <c r="D64" s="24">
        <f>SUM(D55:D62)</f>
        <v>461340000</v>
      </c>
      <c r="F64" s="15">
        <v>950</v>
      </c>
      <c r="G64" s="24">
        <f t="shared" si="7"/>
        <v>9006.0099999999966</v>
      </c>
      <c r="I64" s="15">
        <v>950</v>
      </c>
      <c r="J64" s="24">
        <f t="shared" si="9"/>
        <v>9006.0099999999966</v>
      </c>
    </row>
    <row r="65" spans="3:10" x14ac:dyDescent="0.25">
      <c r="C65" s="14"/>
      <c r="D65" s="24">
        <f>D64/(COUNT(D55:D62))</f>
        <v>57667500</v>
      </c>
      <c r="F65" t="s">
        <v>122</v>
      </c>
      <c r="G65" s="24">
        <f>AVERAGE(F55:F64)</f>
        <v>855.1</v>
      </c>
      <c r="I65" t="s">
        <v>122</v>
      </c>
      <c r="J65" s="24">
        <f>AVERAGE(I56:I64)</f>
        <v>909.55555555555554</v>
      </c>
    </row>
    <row r="66" spans="3:10" x14ac:dyDescent="0.25">
      <c r="C66" s="14" t="s">
        <v>124</v>
      </c>
      <c r="D66" s="24">
        <f>D65^0.5</f>
        <v>7593.9120353082835</v>
      </c>
      <c r="F66" s="14" t="s">
        <v>123</v>
      </c>
      <c r="G66" s="24">
        <f>SUM(G55:G64)</f>
        <v>299972.90000000008</v>
      </c>
      <c r="I66" s="14" t="s">
        <v>123</v>
      </c>
      <c r="J66" s="24">
        <f>SUM(J56:J64)</f>
        <v>59774.88999999997</v>
      </c>
    </row>
    <row r="67" spans="3:10" x14ac:dyDescent="0.25">
      <c r="C67" s="14" t="s">
        <v>125</v>
      </c>
      <c r="D67" s="26">
        <f>(D66/D63)*100</f>
        <v>25.187104594720676</v>
      </c>
      <c r="F67" s="14"/>
      <c r="G67" s="24">
        <f>G66/(COUNT(G55:G64))</f>
        <v>29997.290000000008</v>
      </c>
      <c r="I67" s="14"/>
      <c r="J67" s="24">
        <f>J66/(COUNT(J56:J64))</f>
        <v>6641.6544444444407</v>
      </c>
    </row>
    <row r="68" spans="3:10" x14ac:dyDescent="0.25">
      <c r="C68" s="14"/>
      <c r="D68" s="24"/>
      <c r="F68" s="14" t="s">
        <v>124</v>
      </c>
      <c r="G68" s="24">
        <f>G67^0.5</f>
        <v>173.19725748406066</v>
      </c>
      <c r="I68" s="14" t="s">
        <v>124</v>
      </c>
      <c r="J68" s="24">
        <f>J67^0.5</f>
        <v>81.496346203031948</v>
      </c>
    </row>
    <row r="69" spans="3:10" ht="25.5" x14ac:dyDescent="0.25">
      <c r="C69" s="14"/>
      <c r="D69" s="24"/>
      <c r="F69" s="14" t="s">
        <v>125</v>
      </c>
      <c r="G69" s="25">
        <f>(G68/G65)*100</f>
        <v>20.254620217993295</v>
      </c>
      <c r="I69" s="14" t="s">
        <v>125</v>
      </c>
      <c r="J69" s="25">
        <f>(J68/J65)*100</f>
        <v>8.9600185173135554</v>
      </c>
    </row>
    <row r="70" spans="3:10" x14ac:dyDescent="0.25">
      <c r="C70" s="14"/>
      <c r="D70" s="24"/>
    </row>
    <row r="71" spans="3:10" x14ac:dyDescent="0.25">
      <c r="C71" s="14" t="s">
        <v>35</v>
      </c>
      <c r="D71" s="24"/>
      <c r="F71" s="14" t="s">
        <v>121</v>
      </c>
    </row>
    <row r="72" spans="3:10" x14ac:dyDescent="0.25">
      <c r="C72" s="14">
        <v>36000</v>
      </c>
      <c r="D72" s="24">
        <f t="shared" ref="D72:D81" si="10">(C72-$D$82)^2</f>
        <v>51840000</v>
      </c>
      <c r="F72" s="6">
        <v>930</v>
      </c>
      <c r="G72" s="26">
        <f>(F72-$G$82)^2</f>
        <v>14713.68999999999</v>
      </c>
    </row>
    <row r="73" spans="3:10" x14ac:dyDescent="0.25">
      <c r="C73" s="14">
        <v>10800</v>
      </c>
      <c r="D73" s="24">
        <f t="shared" si="10"/>
        <v>1049760000</v>
      </c>
      <c r="F73" s="6">
        <v>912</v>
      </c>
      <c r="G73" s="26">
        <f t="shared" ref="G73:G81" si="11">(F73-$G$82)^2</f>
        <v>10670.88999999999</v>
      </c>
      <c r="I73" s="6">
        <v>930</v>
      </c>
      <c r="J73" s="26">
        <f t="shared" ref="J73:J78" si="12">(I73-$G$82)^2</f>
        <v>14713.68999999999</v>
      </c>
    </row>
    <row r="74" spans="3:10" x14ac:dyDescent="0.25">
      <c r="C74" s="14">
        <v>46800</v>
      </c>
      <c r="D74" s="24">
        <f t="shared" si="10"/>
        <v>12960000</v>
      </c>
      <c r="F74" s="6">
        <v>905</v>
      </c>
      <c r="G74" s="26">
        <f t="shared" si="11"/>
        <v>9273.6899999999914</v>
      </c>
      <c r="I74" s="6">
        <v>912</v>
      </c>
      <c r="J74" s="26">
        <f t="shared" si="12"/>
        <v>10670.88999999999</v>
      </c>
    </row>
    <row r="75" spans="3:10" x14ac:dyDescent="0.25">
      <c r="C75" s="14">
        <v>64800</v>
      </c>
      <c r="D75" s="24">
        <f t="shared" si="10"/>
        <v>466560000</v>
      </c>
      <c r="F75" s="6">
        <v>910</v>
      </c>
      <c r="G75" s="26">
        <f t="shared" si="11"/>
        <v>10261.689999999991</v>
      </c>
      <c r="I75" s="6">
        <v>905</v>
      </c>
      <c r="J75" s="26">
        <f t="shared" si="12"/>
        <v>9273.6899999999914</v>
      </c>
    </row>
    <row r="76" spans="3:10" x14ac:dyDescent="0.25">
      <c r="C76" s="14">
        <v>64800</v>
      </c>
      <c r="D76" s="24">
        <f t="shared" si="10"/>
        <v>466560000</v>
      </c>
      <c r="F76" s="6">
        <v>895</v>
      </c>
      <c r="G76" s="26">
        <f t="shared" si="11"/>
        <v>7447.6899999999923</v>
      </c>
      <c r="I76" s="6">
        <v>910</v>
      </c>
      <c r="J76" s="26">
        <f t="shared" si="12"/>
        <v>10261.689999999991</v>
      </c>
    </row>
    <row r="77" spans="3:10" x14ac:dyDescent="0.25">
      <c r="C77" s="14">
        <v>43200</v>
      </c>
      <c r="D77" s="24">
        <f t="shared" si="10"/>
        <v>0</v>
      </c>
      <c r="F77" s="6">
        <v>847</v>
      </c>
      <c r="G77" s="26">
        <f t="shared" si="11"/>
        <v>1466.8899999999965</v>
      </c>
      <c r="I77" s="6">
        <v>895</v>
      </c>
      <c r="J77" s="26">
        <f t="shared" si="12"/>
        <v>7447.6899999999923</v>
      </c>
    </row>
    <row r="78" spans="3:10" x14ac:dyDescent="0.25">
      <c r="C78" s="14">
        <v>36000</v>
      </c>
      <c r="D78" s="24">
        <f t="shared" si="10"/>
        <v>51840000</v>
      </c>
      <c r="F78" s="6">
        <v>365</v>
      </c>
      <c r="G78" s="26">
        <f t="shared" si="11"/>
        <v>196869.69000000003</v>
      </c>
      <c r="I78" s="6">
        <v>847</v>
      </c>
      <c r="J78" s="26">
        <f t="shared" si="12"/>
        <v>1466.8899999999965</v>
      </c>
    </row>
    <row r="79" spans="3:10" x14ac:dyDescent="0.25">
      <c r="C79" s="14">
        <v>36000</v>
      </c>
      <c r="D79" s="24">
        <f t="shared" si="10"/>
        <v>51840000</v>
      </c>
      <c r="F79" s="6">
        <v>720</v>
      </c>
      <c r="G79" s="26">
        <f t="shared" si="11"/>
        <v>7867.6900000000078</v>
      </c>
      <c r="I79" s="6">
        <v>720</v>
      </c>
      <c r="J79" s="26">
        <f t="shared" ref="J79:J81" si="13">(I79-$G$82)^2</f>
        <v>7867.6900000000078</v>
      </c>
    </row>
    <row r="80" spans="3:10" x14ac:dyDescent="0.25">
      <c r="C80" s="14">
        <v>28800</v>
      </c>
      <c r="D80" s="24">
        <f t="shared" si="10"/>
        <v>207360000</v>
      </c>
      <c r="F80" s="6">
        <v>653</v>
      </c>
      <c r="G80" s="26">
        <f t="shared" si="11"/>
        <v>24242.490000000013</v>
      </c>
      <c r="I80" s="6">
        <v>653</v>
      </c>
      <c r="J80" s="26">
        <f t="shared" si="13"/>
        <v>24242.490000000013</v>
      </c>
    </row>
    <row r="81" spans="3:10" ht="15.75" thickBot="1" x14ac:dyDescent="0.3">
      <c r="C81" s="15">
        <v>64800</v>
      </c>
      <c r="D81" s="24">
        <f t="shared" si="10"/>
        <v>466560000</v>
      </c>
      <c r="F81" s="15">
        <v>950</v>
      </c>
      <c r="G81" s="26">
        <f t="shared" si="11"/>
        <v>19965.689999999988</v>
      </c>
      <c r="I81" s="15">
        <v>950</v>
      </c>
      <c r="J81" s="26">
        <f t="shared" si="13"/>
        <v>19965.689999999988</v>
      </c>
    </row>
    <row r="82" spans="3:10" x14ac:dyDescent="0.25">
      <c r="C82" t="s">
        <v>122</v>
      </c>
      <c r="D82" s="24">
        <f>AVERAGE(C72:C81)</f>
        <v>43200</v>
      </c>
      <c r="F82" t="s">
        <v>122</v>
      </c>
      <c r="G82" s="24">
        <f>AVERAGE(F72:F81)</f>
        <v>808.7</v>
      </c>
      <c r="I82" t="s">
        <v>122</v>
      </c>
      <c r="J82" s="24">
        <f>AVERAGE(I73:I81)</f>
        <v>858</v>
      </c>
    </row>
    <row r="83" spans="3:10" x14ac:dyDescent="0.25">
      <c r="C83" s="14" t="s">
        <v>123</v>
      </c>
      <c r="D83" s="24">
        <f>SUM(D72:D81)</f>
        <v>2825280000</v>
      </c>
      <c r="F83" s="14" t="s">
        <v>123</v>
      </c>
      <c r="G83" s="24">
        <f>SUM(G72:G81)</f>
        <v>302780.09999999998</v>
      </c>
      <c r="I83" s="14" t="s">
        <v>123</v>
      </c>
      <c r="J83" s="24">
        <f>SUM(J73:J81)</f>
        <v>105910.40999999996</v>
      </c>
    </row>
    <row r="84" spans="3:10" x14ac:dyDescent="0.25">
      <c r="C84" s="14"/>
      <c r="D84" s="24">
        <f>D83/(COUNT(D72:D81))</f>
        <v>282528000</v>
      </c>
      <c r="F84" s="14"/>
      <c r="G84" s="24">
        <f>G83/(COUNT(G72:G81))</f>
        <v>30278.01</v>
      </c>
      <c r="I84" s="14"/>
      <c r="J84" s="24">
        <f>J83/(COUNT(J73:J81))</f>
        <v>11767.823333333328</v>
      </c>
    </row>
    <row r="85" spans="3:10" x14ac:dyDescent="0.25">
      <c r="C85" s="14" t="s">
        <v>124</v>
      </c>
      <c r="D85" s="26">
        <f>D84^0.5</f>
        <v>16808.569243097401</v>
      </c>
      <c r="F85" s="14" t="s">
        <v>124</v>
      </c>
      <c r="G85" s="26">
        <f>G84^0.5</f>
        <v>174.00577576620839</v>
      </c>
      <c r="I85" s="14" t="s">
        <v>124</v>
      </c>
      <c r="J85" s="26">
        <f>J84^0.5</f>
        <v>108.47959869640617</v>
      </c>
    </row>
    <row r="86" spans="3:10" ht="25.5" x14ac:dyDescent="0.25">
      <c r="C86" s="14" t="s">
        <v>125</v>
      </c>
      <c r="D86">
        <f>(D85/D82)*100</f>
        <v>38.908725099762506</v>
      </c>
      <c r="F86" s="14" t="s">
        <v>125</v>
      </c>
      <c r="G86">
        <f>(G85/G82)*100</f>
        <v>21.516727558576527</v>
      </c>
      <c r="I86" s="14" t="s">
        <v>125</v>
      </c>
      <c r="J86">
        <f>(J85/J82)*100</f>
        <v>12.64330987137601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2FBF-42F7-4751-9A27-A9343397F1D9}">
  <dimension ref="B2:H38"/>
  <sheetViews>
    <sheetView zoomScale="40" zoomScaleNormal="40" workbookViewId="0">
      <selection activeCell="F46" sqref="F46"/>
    </sheetView>
  </sheetViews>
  <sheetFormatPr defaultRowHeight="15" x14ac:dyDescent="0.25"/>
  <cols>
    <col min="2" max="2" width="12.85546875" customWidth="1"/>
    <col min="3" max="3" width="6.28515625" bestFit="1" customWidth="1"/>
    <col min="4" max="4" width="6.140625" bestFit="1" customWidth="1"/>
    <col min="5" max="6" width="13.5703125" customWidth="1"/>
    <col min="7" max="7" width="10.42578125" customWidth="1"/>
  </cols>
  <sheetData>
    <row r="2" spans="2:8" x14ac:dyDescent="0.25">
      <c r="B2" s="28"/>
      <c r="C2" s="28"/>
      <c r="D2" s="28"/>
      <c r="E2" s="28"/>
      <c r="F2" s="28"/>
      <c r="G2" s="28"/>
    </row>
    <row r="3" spans="2:8" ht="26.25" thickBot="1" x14ac:dyDescent="0.3">
      <c r="B3" s="27" t="s">
        <v>126</v>
      </c>
      <c r="C3" s="27" t="s">
        <v>127</v>
      </c>
      <c r="D3" s="27" t="s">
        <v>128</v>
      </c>
      <c r="E3" s="27" t="s">
        <v>129</v>
      </c>
      <c r="F3" s="27"/>
      <c r="G3" s="27" t="s">
        <v>130</v>
      </c>
    </row>
    <row r="4" spans="2:8" ht="15.75" thickBot="1" x14ac:dyDescent="0.3">
      <c r="B4" s="28" t="s">
        <v>5</v>
      </c>
      <c r="C4" s="28">
        <v>0</v>
      </c>
      <c r="D4" s="28"/>
      <c r="E4" s="28">
        <v>1</v>
      </c>
      <c r="F4" s="28">
        <v>1</v>
      </c>
      <c r="G4" s="9">
        <v>930</v>
      </c>
    </row>
    <row r="5" spans="2:8" ht="15.75" thickBot="1" x14ac:dyDescent="0.3">
      <c r="B5" s="28" t="s">
        <v>6</v>
      </c>
      <c r="C5" s="28">
        <v>130</v>
      </c>
      <c r="D5" s="28"/>
      <c r="E5" s="28">
        <v>2</v>
      </c>
      <c r="F5" s="28">
        <v>2</v>
      </c>
      <c r="G5" s="9">
        <v>912</v>
      </c>
    </row>
    <row r="6" spans="2:8" ht="15.75" thickBot="1" x14ac:dyDescent="0.3">
      <c r="B6" s="28" t="s">
        <v>7</v>
      </c>
      <c r="C6" s="28">
        <v>235</v>
      </c>
      <c r="D6" s="28"/>
      <c r="E6" s="28">
        <v>3</v>
      </c>
      <c r="F6" s="28">
        <v>3</v>
      </c>
      <c r="G6" s="9">
        <v>905</v>
      </c>
    </row>
    <row r="7" spans="2:8" ht="15.75" thickBot="1" x14ac:dyDescent="0.3">
      <c r="B7" s="28" t="s">
        <v>142</v>
      </c>
      <c r="C7" s="28">
        <v>325</v>
      </c>
      <c r="D7" s="28"/>
      <c r="E7" s="28">
        <v>4</v>
      </c>
      <c r="F7" s="28">
        <v>4</v>
      </c>
      <c r="G7" s="9">
        <v>910</v>
      </c>
    </row>
    <row r="8" spans="2:8" ht="15.75" thickBot="1" x14ac:dyDescent="0.3">
      <c r="B8" s="28" t="s">
        <v>9</v>
      </c>
      <c r="C8" s="28">
        <v>395</v>
      </c>
      <c r="D8" s="28"/>
      <c r="E8" s="28">
        <v>5</v>
      </c>
      <c r="F8" s="28">
        <v>5</v>
      </c>
      <c r="G8" s="9">
        <v>895</v>
      </c>
    </row>
    <row r="9" spans="2:8" ht="15.75" thickBot="1" x14ac:dyDescent="0.3">
      <c r="B9" s="28" t="s">
        <v>10</v>
      </c>
      <c r="C9" s="28">
        <v>460</v>
      </c>
      <c r="D9" s="28"/>
      <c r="E9" s="28">
        <v>6</v>
      </c>
      <c r="F9" s="28">
        <v>6</v>
      </c>
      <c r="G9" s="9">
        <v>962</v>
      </c>
    </row>
    <row r="10" spans="2:8" ht="15.75" thickBot="1" x14ac:dyDescent="0.3">
      <c r="B10" t="s">
        <v>11</v>
      </c>
      <c r="C10" s="28">
        <v>622</v>
      </c>
      <c r="E10" s="28">
        <v>7</v>
      </c>
      <c r="F10" s="28">
        <v>7</v>
      </c>
      <c r="G10" s="9">
        <v>365</v>
      </c>
    </row>
    <row r="11" spans="2:8" ht="15.75" thickBot="1" x14ac:dyDescent="0.3">
      <c r="B11" t="s">
        <v>141</v>
      </c>
      <c r="C11" s="28">
        <v>687</v>
      </c>
      <c r="E11" s="28">
        <v>8</v>
      </c>
      <c r="F11" s="28">
        <v>8</v>
      </c>
      <c r="G11" s="9">
        <v>969</v>
      </c>
    </row>
    <row r="12" spans="2:8" ht="15.75" thickBot="1" x14ac:dyDescent="0.3">
      <c r="B12" t="s">
        <v>13</v>
      </c>
      <c r="C12" s="28">
        <v>874</v>
      </c>
      <c r="E12" s="28">
        <v>9</v>
      </c>
      <c r="F12" s="28">
        <v>9</v>
      </c>
      <c r="G12" s="9">
        <v>777</v>
      </c>
    </row>
    <row r="13" spans="2:8" x14ac:dyDescent="0.25">
      <c r="B13" s="28" t="s">
        <v>14</v>
      </c>
      <c r="C13" s="28">
        <v>1056</v>
      </c>
      <c r="D13" s="28">
        <v>2847</v>
      </c>
      <c r="E13" s="28">
        <v>1</v>
      </c>
      <c r="F13" s="28">
        <f>E13+9</f>
        <v>10</v>
      </c>
      <c r="G13" s="28">
        <v>950</v>
      </c>
      <c r="H13">
        <f>500*EXP((4-E13)/5) + 71.7</f>
        <v>982.75940019525444</v>
      </c>
    </row>
    <row r="14" spans="2:8" x14ac:dyDescent="0.25">
      <c r="B14" s="28" t="s">
        <v>15</v>
      </c>
      <c r="C14" s="28">
        <v>1558</v>
      </c>
      <c r="D14" s="28">
        <v>2345</v>
      </c>
      <c r="E14" s="28">
        <v>2</v>
      </c>
      <c r="F14" s="28">
        <f t="shared" ref="F14:F37" si="0">E14+9</f>
        <v>11</v>
      </c>
      <c r="G14" s="28">
        <v>600</v>
      </c>
      <c r="H14">
        <f t="shared" ref="H14:H38" si="1">500*EXP((4-E14)/5) + 71.7</f>
        <v>817.61234882063525</v>
      </c>
    </row>
    <row r="15" spans="2:8" x14ac:dyDescent="0.25">
      <c r="B15" s="28" t="s">
        <v>131</v>
      </c>
      <c r="C15" s="28">
        <v>1658</v>
      </c>
      <c r="D15" s="28">
        <v>2245</v>
      </c>
      <c r="E15" s="28">
        <v>3</v>
      </c>
      <c r="F15" s="28">
        <f t="shared" si="0"/>
        <v>12</v>
      </c>
      <c r="G15" s="28">
        <v>438</v>
      </c>
      <c r="H15">
        <f t="shared" si="1"/>
        <v>682.40137908008501</v>
      </c>
    </row>
    <row r="16" spans="2:8" x14ac:dyDescent="0.25">
      <c r="B16" s="28" t="s">
        <v>132</v>
      </c>
      <c r="C16" s="28">
        <v>1693</v>
      </c>
      <c r="D16" s="28">
        <v>2210</v>
      </c>
      <c r="E16" s="28">
        <v>4</v>
      </c>
      <c r="F16" s="28">
        <f t="shared" si="0"/>
        <v>13</v>
      </c>
      <c r="G16" s="28">
        <v>433</v>
      </c>
      <c r="H16">
        <f t="shared" si="1"/>
        <v>571.70000000000005</v>
      </c>
    </row>
    <row r="17" spans="2:8" x14ac:dyDescent="0.25">
      <c r="B17" s="28" t="s">
        <v>24</v>
      </c>
      <c r="C17" s="28">
        <v>1723</v>
      </c>
      <c r="D17" s="28">
        <v>2180</v>
      </c>
      <c r="E17" s="28">
        <v>5</v>
      </c>
      <c r="F17" s="28">
        <f t="shared" si="0"/>
        <v>14</v>
      </c>
      <c r="G17" s="28">
        <v>464</v>
      </c>
      <c r="H17">
        <f t="shared" si="1"/>
        <v>481.0653765389909</v>
      </c>
    </row>
    <row r="18" spans="2:8" x14ac:dyDescent="0.25">
      <c r="B18" s="28" t="s">
        <v>25</v>
      </c>
      <c r="C18" s="28">
        <v>1757</v>
      </c>
      <c r="D18" s="28">
        <v>2146</v>
      </c>
      <c r="E18" s="28">
        <v>6</v>
      </c>
      <c r="F18" s="28">
        <f t="shared" si="0"/>
        <v>15</v>
      </c>
      <c r="G18" s="28">
        <v>239</v>
      </c>
      <c r="H18">
        <f t="shared" si="1"/>
        <v>406.86002301781963</v>
      </c>
    </row>
    <row r="19" spans="2:8" x14ac:dyDescent="0.25">
      <c r="B19" s="28" t="s">
        <v>26</v>
      </c>
      <c r="C19" s="28">
        <v>1787</v>
      </c>
      <c r="D19" s="28">
        <v>2116</v>
      </c>
      <c r="E19" s="28">
        <v>7</v>
      </c>
      <c r="F19" s="28">
        <f t="shared" si="0"/>
        <v>16</v>
      </c>
      <c r="G19" s="28">
        <v>239</v>
      </c>
      <c r="H19">
        <f t="shared" si="1"/>
        <v>346.1058180470132</v>
      </c>
    </row>
    <row r="20" spans="2:8" x14ac:dyDescent="0.25">
      <c r="B20" s="28" t="s">
        <v>27</v>
      </c>
      <c r="C20" s="28">
        <v>1819</v>
      </c>
      <c r="D20" s="28">
        <v>2084</v>
      </c>
      <c r="E20" s="28">
        <v>8</v>
      </c>
      <c r="F20" s="28">
        <f t="shared" si="0"/>
        <v>17</v>
      </c>
      <c r="G20" s="28">
        <v>234</v>
      </c>
      <c r="H20">
        <f t="shared" si="1"/>
        <v>296.3644820586108</v>
      </c>
    </row>
    <row r="21" spans="2:8" x14ac:dyDescent="0.25">
      <c r="B21" s="28" t="s">
        <v>28</v>
      </c>
      <c r="C21" s="28">
        <v>1853</v>
      </c>
      <c r="D21" s="28">
        <v>2050</v>
      </c>
      <c r="E21" s="28">
        <v>9</v>
      </c>
      <c r="F21" s="28">
        <f t="shared" si="0"/>
        <v>18</v>
      </c>
      <c r="G21" s="28">
        <v>148</v>
      </c>
      <c r="H21">
        <f t="shared" si="1"/>
        <v>255.63972058572119</v>
      </c>
    </row>
    <row r="22" spans="2:8" x14ac:dyDescent="0.25">
      <c r="B22" s="28" t="s">
        <v>29</v>
      </c>
      <c r="C22" s="28">
        <v>1882</v>
      </c>
      <c r="D22" s="28">
        <v>2021</v>
      </c>
      <c r="E22" s="28">
        <v>10</v>
      </c>
      <c r="F22" s="28">
        <f t="shared" si="0"/>
        <v>19</v>
      </c>
      <c r="G22" s="28">
        <v>205</v>
      </c>
      <c r="H22">
        <f t="shared" si="1"/>
        <v>222.29710595610106</v>
      </c>
    </row>
    <row r="23" spans="2:8" x14ac:dyDescent="0.25">
      <c r="B23" s="28" t="s">
        <v>113</v>
      </c>
      <c r="C23" s="28">
        <v>1952</v>
      </c>
      <c r="D23" s="28">
        <v>1951</v>
      </c>
      <c r="E23" s="28">
        <v>11</v>
      </c>
      <c r="F23" s="28">
        <f t="shared" si="0"/>
        <v>20</v>
      </c>
      <c r="G23" s="28">
        <v>175</v>
      </c>
      <c r="H23">
        <f t="shared" si="1"/>
        <v>194.99848197080325</v>
      </c>
    </row>
    <row r="24" spans="2:8" x14ac:dyDescent="0.25">
      <c r="B24" s="28" t="s">
        <v>114</v>
      </c>
      <c r="C24" s="28">
        <v>2052</v>
      </c>
      <c r="D24" s="28">
        <v>1851</v>
      </c>
      <c r="E24" s="28">
        <v>12</v>
      </c>
      <c r="F24" s="28">
        <f t="shared" si="0"/>
        <v>21</v>
      </c>
      <c r="G24" s="28">
        <v>180</v>
      </c>
      <c r="H24">
        <f t="shared" si="1"/>
        <v>172.6482589973277</v>
      </c>
    </row>
    <row r="25" spans="2:8" x14ac:dyDescent="0.25">
      <c r="B25" s="28" t="s">
        <v>115</v>
      </c>
      <c r="C25" s="28">
        <v>2112</v>
      </c>
      <c r="D25" s="28">
        <v>1791</v>
      </c>
      <c r="E25" s="28">
        <v>13</v>
      </c>
      <c r="F25" s="28">
        <f t="shared" si="0"/>
        <v>22</v>
      </c>
      <c r="G25" s="28">
        <v>147</v>
      </c>
      <c r="H25">
        <f t="shared" si="1"/>
        <v>154.34944411079329</v>
      </c>
    </row>
    <row r="26" spans="2:8" x14ac:dyDescent="0.25">
      <c r="B26" s="28" t="s">
        <v>133</v>
      </c>
      <c r="C26" s="28">
        <v>2200</v>
      </c>
      <c r="D26" s="28">
        <v>1697</v>
      </c>
      <c r="E26" s="28">
        <v>14</v>
      </c>
      <c r="F26" s="28">
        <f t="shared" si="0"/>
        <v>23</v>
      </c>
      <c r="G26" s="28">
        <v>137</v>
      </c>
      <c r="H26">
        <f t="shared" si="1"/>
        <v>139.36764161830635</v>
      </c>
    </row>
    <row r="27" spans="2:8" x14ac:dyDescent="0.25">
      <c r="B27" s="28" t="s">
        <v>134</v>
      </c>
      <c r="C27" s="28" t="s">
        <v>135</v>
      </c>
      <c r="D27" s="28" t="s">
        <v>135</v>
      </c>
      <c r="E27" s="28">
        <v>15</v>
      </c>
      <c r="F27" s="28">
        <f t="shared" si="0"/>
        <v>24</v>
      </c>
      <c r="G27" s="28">
        <v>133</v>
      </c>
      <c r="H27">
        <f t="shared" si="1"/>
        <v>127.10157918116694</v>
      </c>
    </row>
    <row r="28" spans="2:8" x14ac:dyDescent="0.25">
      <c r="B28" s="28" t="s">
        <v>136</v>
      </c>
      <c r="C28" s="28" t="s">
        <v>135</v>
      </c>
      <c r="D28" s="28" t="s">
        <v>135</v>
      </c>
      <c r="E28" s="28">
        <v>16</v>
      </c>
      <c r="F28" s="28">
        <f t="shared" si="0"/>
        <v>25</v>
      </c>
      <c r="G28" s="28">
        <v>147</v>
      </c>
      <c r="H28">
        <f t="shared" si="1"/>
        <v>117.05897664470626</v>
      </c>
    </row>
    <row r="29" spans="2:8" x14ac:dyDescent="0.25">
      <c r="B29" s="28" t="s">
        <v>116</v>
      </c>
      <c r="C29" s="28">
        <v>2377</v>
      </c>
      <c r="D29" s="28">
        <v>1526</v>
      </c>
      <c r="E29" s="28">
        <v>17</v>
      </c>
      <c r="F29" s="28">
        <f t="shared" si="0"/>
        <v>26</v>
      </c>
      <c r="G29" s="28">
        <v>120</v>
      </c>
      <c r="H29">
        <f t="shared" si="1"/>
        <v>108.83678910716694</v>
      </c>
    </row>
    <row r="30" spans="2:8" x14ac:dyDescent="0.25">
      <c r="B30" s="28" t="s">
        <v>117</v>
      </c>
      <c r="C30" s="28" t="s">
        <v>135</v>
      </c>
      <c r="D30" s="28" t="s">
        <v>135</v>
      </c>
      <c r="E30" s="28">
        <v>25</v>
      </c>
      <c r="F30" s="28">
        <f t="shared" si="0"/>
        <v>34</v>
      </c>
      <c r="G30" s="28">
        <v>110</v>
      </c>
      <c r="H30">
        <f t="shared" si="1"/>
        <v>79.197788410238857</v>
      </c>
    </row>
    <row r="31" spans="2:8" x14ac:dyDescent="0.25">
      <c r="B31" s="28" t="s">
        <v>137</v>
      </c>
      <c r="C31" s="28">
        <v>2931</v>
      </c>
      <c r="D31" s="28">
        <v>972</v>
      </c>
      <c r="E31" s="28">
        <v>24</v>
      </c>
      <c r="F31" s="28">
        <f t="shared" si="0"/>
        <v>33</v>
      </c>
      <c r="G31" s="28">
        <v>70</v>
      </c>
      <c r="H31">
        <f t="shared" si="1"/>
        <v>80.857819444367095</v>
      </c>
    </row>
    <row r="32" spans="2:8" x14ac:dyDescent="0.25">
      <c r="B32" s="28" t="s">
        <v>63</v>
      </c>
      <c r="C32" s="28">
        <v>2988</v>
      </c>
      <c r="D32" s="28">
        <v>915</v>
      </c>
      <c r="E32" s="28">
        <v>26</v>
      </c>
      <c r="F32" s="28">
        <f t="shared" si="0"/>
        <v>35</v>
      </c>
      <c r="G32" s="28">
        <v>58</v>
      </c>
      <c r="H32">
        <f t="shared" si="1"/>
        <v>77.838669951534214</v>
      </c>
    </row>
    <row r="33" spans="2:8" x14ac:dyDescent="0.25">
      <c r="B33" s="28" t="s">
        <v>69</v>
      </c>
      <c r="C33" s="28">
        <v>3054</v>
      </c>
      <c r="D33" s="28">
        <v>849</v>
      </c>
      <c r="E33" s="28">
        <v>29</v>
      </c>
      <c r="F33" s="28">
        <f t="shared" si="0"/>
        <v>38</v>
      </c>
      <c r="G33" s="28">
        <v>60</v>
      </c>
      <c r="H33">
        <f t="shared" si="1"/>
        <v>75.068973499542736</v>
      </c>
    </row>
    <row r="34" spans="2:8" x14ac:dyDescent="0.25">
      <c r="B34" s="28" t="s">
        <v>138</v>
      </c>
      <c r="C34" s="28">
        <v>3061</v>
      </c>
      <c r="D34" s="28">
        <v>842</v>
      </c>
      <c r="E34" s="28">
        <v>30</v>
      </c>
      <c r="F34" s="28">
        <f t="shared" si="0"/>
        <v>39</v>
      </c>
      <c r="G34" s="28">
        <v>40</v>
      </c>
      <c r="H34">
        <f t="shared" si="1"/>
        <v>74.458282210380389</v>
      </c>
    </row>
    <row r="35" spans="2:8" x14ac:dyDescent="0.25">
      <c r="B35" s="28" t="s">
        <v>76</v>
      </c>
      <c r="C35" s="28">
        <v>3171</v>
      </c>
      <c r="D35" s="28">
        <v>732</v>
      </c>
      <c r="E35" s="28">
        <v>35</v>
      </c>
      <c r="F35" s="28">
        <f t="shared" si="0"/>
        <v>44</v>
      </c>
      <c r="G35" s="28">
        <v>41</v>
      </c>
      <c r="H35">
        <f t="shared" si="1"/>
        <v>72.714715318147867</v>
      </c>
    </row>
    <row r="36" spans="2:8" x14ac:dyDescent="0.25">
      <c r="B36" s="28" t="s">
        <v>77</v>
      </c>
      <c r="C36" s="28">
        <v>3187</v>
      </c>
      <c r="D36" s="28">
        <v>716</v>
      </c>
      <c r="E36" s="28">
        <v>36</v>
      </c>
      <c r="F36" s="28">
        <f t="shared" si="0"/>
        <v>45</v>
      </c>
      <c r="G36" s="28">
        <v>36</v>
      </c>
      <c r="H36">
        <f t="shared" si="1"/>
        <v>72.530778636586973</v>
      </c>
    </row>
    <row r="37" spans="2:8" x14ac:dyDescent="0.25">
      <c r="B37" s="28" t="s">
        <v>78</v>
      </c>
      <c r="C37" s="28">
        <v>3216</v>
      </c>
      <c r="D37" s="28">
        <v>687</v>
      </c>
      <c r="E37" s="28">
        <v>37</v>
      </c>
      <c r="F37" s="28">
        <f t="shared" si="0"/>
        <v>46</v>
      </c>
      <c r="G37" s="28">
        <v>54</v>
      </c>
      <c r="H37">
        <f t="shared" si="1"/>
        <v>72.380184018773946</v>
      </c>
    </row>
    <row r="38" spans="2:8" x14ac:dyDescent="0.25">
      <c r="B38" s="28" t="s">
        <v>79</v>
      </c>
      <c r="C38" s="28">
        <v>3260</v>
      </c>
      <c r="D38" s="28">
        <v>643</v>
      </c>
      <c r="E38" s="28">
        <v>38</v>
      </c>
      <c r="F38" s="28">
        <f>E38+9</f>
        <v>47</v>
      </c>
      <c r="G38" s="28">
        <v>67</v>
      </c>
      <c r="H38">
        <f t="shared" si="1"/>
        <v>72.256887573922398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81E0-C3EA-4FA8-ABC8-EA421130B89B}">
  <dimension ref="B2:D27"/>
  <sheetViews>
    <sheetView workbookViewId="0">
      <selection activeCell="C30" sqref="C30"/>
    </sheetView>
  </sheetViews>
  <sheetFormatPr defaultRowHeight="15" x14ac:dyDescent="0.25"/>
  <cols>
    <col min="2" max="2" width="19.7109375" customWidth="1"/>
  </cols>
  <sheetData>
    <row r="2" spans="2:3" x14ac:dyDescent="0.25">
      <c r="B2" t="s">
        <v>5</v>
      </c>
      <c r="C2">
        <v>930</v>
      </c>
    </row>
    <row r="3" spans="2:3" x14ac:dyDescent="0.25">
      <c r="B3" t="s">
        <v>6</v>
      </c>
      <c r="C3">
        <v>912</v>
      </c>
    </row>
    <row r="4" spans="2:3" x14ac:dyDescent="0.25">
      <c r="B4" t="s">
        <v>7</v>
      </c>
      <c r="C4">
        <v>905</v>
      </c>
    </row>
    <row r="5" spans="2:3" x14ac:dyDescent="0.25">
      <c r="B5" t="s">
        <v>139</v>
      </c>
      <c r="C5">
        <v>910</v>
      </c>
    </row>
    <row r="6" spans="2:3" x14ac:dyDescent="0.25">
      <c r="B6" t="s">
        <v>140</v>
      </c>
      <c r="C6">
        <v>895</v>
      </c>
    </row>
    <row r="7" spans="2:3" x14ac:dyDescent="0.25">
      <c r="B7" t="s">
        <v>10</v>
      </c>
      <c r="C7">
        <v>962</v>
      </c>
    </row>
    <row r="8" spans="2:3" x14ac:dyDescent="0.25">
      <c r="B8" t="s">
        <v>11</v>
      </c>
      <c r="C8">
        <v>365</v>
      </c>
    </row>
    <row r="9" spans="2:3" x14ac:dyDescent="0.25">
      <c r="B9" t="s">
        <v>12</v>
      </c>
      <c r="C9">
        <v>969</v>
      </c>
    </row>
    <row r="10" spans="2:3" x14ac:dyDescent="0.25">
      <c r="B10" t="s">
        <v>13</v>
      </c>
      <c r="C10">
        <v>777</v>
      </c>
    </row>
    <row r="11" spans="2:3" x14ac:dyDescent="0.25">
      <c r="B11" t="s">
        <v>14</v>
      </c>
      <c r="C11">
        <v>950</v>
      </c>
    </row>
    <row r="12" spans="2:3" x14ac:dyDescent="0.25">
      <c r="B12" t="s">
        <v>15</v>
      </c>
      <c r="C12">
        <v>600</v>
      </c>
    </row>
    <row r="13" spans="2:3" x14ac:dyDescent="0.25">
      <c r="B13" t="s">
        <v>22</v>
      </c>
      <c r="C13">
        <v>438</v>
      </c>
    </row>
    <row r="14" spans="2:3" x14ac:dyDescent="0.25">
      <c r="B14" t="s">
        <v>23</v>
      </c>
      <c r="C14">
        <v>433</v>
      </c>
    </row>
    <row r="15" spans="2:3" x14ac:dyDescent="0.25">
      <c r="B15" t="s">
        <v>24</v>
      </c>
      <c r="C15">
        <v>464</v>
      </c>
    </row>
    <row r="16" spans="2:3" x14ac:dyDescent="0.25">
      <c r="B16" t="s">
        <v>25</v>
      </c>
      <c r="C16">
        <v>239</v>
      </c>
    </row>
    <row r="17" spans="2:4" x14ac:dyDescent="0.25">
      <c r="B17" t="s">
        <v>26</v>
      </c>
      <c r="C17">
        <v>239</v>
      </c>
    </row>
    <row r="18" spans="2:4" x14ac:dyDescent="0.25">
      <c r="B18" t="s">
        <v>27</v>
      </c>
      <c r="C18">
        <v>230</v>
      </c>
    </row>
    <row r="19" spans="2:4" x14ac:dyDescent="0.25">
      <c r="B19" t="s">
        <v>28</v>
      </c>
      <c r="C19">
        <v>148</v>
      </c>
    </row>
    <row r="20" spans="2:4" x14ac:dyDescent="0.25">
      <c r="B20" t="s">
        <v>29</v>
      </c>
      <c r="C20">
        <v>205</v>
      </c>
    </row>
    <row r="21" spans="2:4" x14ac:dyDescent="0.25">
      <c r="B21" t="s">
        <v>113</v>
      </c>
      <c r="C21">
        <v>175</v>
      </c>
    </row>
    <row r="22" spans="2:4" x14ac:dyDescent="0.25">
      <c r="B22" t="s">
        <v>114</v>
      </c>
      <c r="C22">
        <v>180</v>
      </c>
    </row>
    <row r="23" spans="2:4" x14ac:dyDescent="0.25">
      <c r="B23" t="s">
        <v>115</v>
      </c>
      <c r="C23">
        <v>147</v>
      </c>
    </row>
    <row r="24" spans="2:4" x14ac:dyDescent="0.25">
      <c r="B24" t="s">
        <v>133</v>
      </c>
      <c r="C24">
        <v>137</v>
      </c>
    </row>
    <row r="25" spans="2:4" x14ac:dyDescent="0.25">
      <c r="B25" t="s">
        <v>134</v>
      </c>
      <c r="C25">
        <v>133</v>
      </c>
    </row>
    <row r="26" spans="2:4" x14ac:dyDescent="0.25">
      <c r="B26" t="s">
        <v>136</v>
      </c>
      <c r="C26">
        <v>137</v>
      </c>
    </row>
    <row r="27" spans="2:4" x14ac:dyDescent="0.25">
      <c r="B27" t="s">
        <v>116</v>
      </c>
      <c r="C27">
        <v>120</v>
      </c>
      <c r="D27">
        <f>SUM(C2:C27)</f>
        <v>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Fig_1A_and_1D</vt:lpstr>
      <vt:lpstr>Fig_1B_decomp</vt:lpstr>
      <vt:lpstr>Fig_1C_decomp</vt:lpstr>
      <vt:lpstr>Fig_2A_decomp</vt:lpstr>
      <vt:lpstr>Fig_2B_decomp</vt:lpstr>
      <vt:lpstr>Fig_2C_decomp</vt:lpstr>
      <vt:lpstr>judah israel kings</vt:lpstr>
      <vt:lpstr>SUMER</vt:lpstr>
      <vt:lpstr>Exponential Decay Curve</vt:lpstr>
      <vt:lpstr>12600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2025-01-08T00:47:33Z</dcterms:created>
  <dcterms:modified xsi:type="dcterms:W3CDTF">2026-04-21T05:12:10Z</dcterms:modified>
</cp:coreProperties>
</file>